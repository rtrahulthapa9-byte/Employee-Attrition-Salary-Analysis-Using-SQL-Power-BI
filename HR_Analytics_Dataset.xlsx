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Excel Practice File\"/>
    </mc:Choice>
  </mc:AlternateContent>
  <xr:revisionPtr revIDLastSave="0" documentId="13_ncr:1_{47849186-2CC5-429E-87C9-A201982F578B}" xr6:coauthVersionLast="47" xr6:coauthVersionMax="47" xr10:uidLastSave="{00000000-0000-0000-0000-000000000000}"/>
  <bookViews>
    <workbookView xWindow="-108" yWindow="-108" windowWidth="23256" windowHeight="12456" activeTab="4" xr2:uid="{00000000-000D-0000-FFFF-FFFF00000000}"/>
  </bookViews>
  <sheets>
    <sheet name="Data" sheetId="1" r:id="rId1"/>
    <sheet name="CAL" sheetId="3" r:id="rId2"/>
    <sheet name="Detail1" sheetId="5" r:id="rId3"/>
    <sheet name="PIVOT" sheetId="4" r:id="rId4"/>
    <sheet name="DASHBOARD" sheetId="6" r:id="rId5"/>
    <sheet name="Sheet1" sheetId="7" r:id="rId6"/>
  </sheets>
  <definedNames>
    <definedName name="Slicer_Attrition">#N/A</definedName>
    <definedName name="Slicer_Department">#N/A</definedName>
    <definedName name="Slicer_Employment_Type">#N/A</definedName>
    <definedName name="Slicer_Gender">#N/A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I5" i="3" l="1"/>
  <c r="I6" i="3"/>
  <c r="I7" i="3"/>
  <c r="I4" i="3"/>
  <c r="H5" i="3"/>
  <c r="H6" i="3"/>
  <c r="H7" i="3"/>
  <c r="H4" i="3"/>
  <c r="M5" i="3"/>
  <c r="M6" i="3"/>
  <c r="M4" i="3"/>
  <c r="L5" i="3"/>
  <c r="L6" i="3"/>
  <c r="L4" i="3"/>
  <c r="E5" i="3"/>
  <c r="E6" i="3"/>
  <c r="E7" i="3"/>
  <c r="E8" i="3"/>
  <c r="E9" i="3"/>
  <c r="E10" i="3"/>
  <c r="E11" i="3"/>
  <c r="E4" i="3"/>
  <c r="B4" i="3"/>
  <c r="D5" i="3"/>
  <c r="D6" i="3"/>
  <c r="D7" i="3"/>
  <c r="D8" i="3"/>
  <c r="D9" i="3"/>
  <c r="D10" i="3"/>
  <c r="D11" i="3"/>
  <c r="D4" i="3"/>
  <c r="B16" i="3"/>
  <c r="B15" i="3"/>
  <c r="C5" i="3"/>
  <c r="C6" i="3"/>
  <c r="C7" i="3"/>
  <c r="C8" i="3"/>
  <c r="C9" i="3"/>
  <c r="C10" i="3"/>
  <c r="C11" i="3"/>
  <c r="C4" i="3"/>
  <c r="B5" i="3"/>
  <c r="B6" i="3"/>
  <c r="B7" i="3"/>
  <c r="B8" i="3"/>
  <c r="B9" i="3"/>
  <c r="B10" i="3"/>
  <c r="B11" i="3"/>
  <c r="H32" i="4"/>
  <c r="H31" i="4"/>
  <c r="H34" i="4"/>
  <c r="H33" i="4"/>
  <c r="H30" i="4"/>
</calcChain>
</file>

<file path=xl/sharedStrings.xml><?xml version="1.0" encoding="utf-8"?>
<sst xmlns="http://schemas.openxmlformats.org/spreadsheetml/2006/main" count="13161" uniqueCount="2255">
  <si>
    <t>Employee_ID</t>
  </si>
  <si>
    <t>Age</t>
  </si>
  <si>
    <t>Gender</t>
  </si>
  <si>
    <t>Education</t>
  </si>
  <si>
    <t>City</t>
  </si>
  <si>
    <t>Department</t>
  </si>
  <si>
    <t>Job_Role</t>
  </si>
  <si>
    <t>Employment_Type</t>
  </si>
  <si>
    <t>Join_Date</t>
  </si>
  <si>
    <t>Years_At_Company</t>
  </si>
  <si>
    <t>Years_Experience</t>
  </si>
  <si>
    <t>Performance_Rating</t>
  </si>
  <si>
    <t>Job_Satisfaction</t>
  </si>
  <si>
    <t>Work_Life_Balance</t>
  </si>
  <si>
    <t>Overtime</t>
  </si>
  <si>
    <t>Leaves_Taken</t>
  </si>
  <si>
    <t>Training_Hours</t>
  </si>
  <si>
    <t>Salary</t>
  </si>
  <si>
    <t>Bonus</t>
  </si>
  <si>
    <t>Salary_Hike_%</t>
  </si>
  <si>
    <t>Attrition</t>
  </si>
  <si>
    <t>EMP1001</t>
  </si>
  <si>
    <t>Undisclosed</t>
  </si>
  <si>
    <t>High School</t>
  </si>
  <si>
    <t>Philadelphia</t>
  </si>
  <si>
    <t>Finance</t>
  </si>
  <si>
    <t>Financial Analyst</t>
  </si>
  <si>
    <t>Full-Time</t>
  </si>
  <si>
    <t>2023-01-13</t>
  </si>
  <si>
    <t>Good</t>
  </si>
  <si>
    <t>Yes</t>
  </si>
  <si>
    <t>No</t>
  </si>
  <si>
    <t>EMP1002</t>
  </si>
  <si>
    <t>Female</t>
  </si>
  <si>
    <t>Bachelor's</t>
  </si>
  <si>
    <t>Chicago</t>
  </si>
  <si>
    <t>Sales</t>
  </si>
  <si>
    <t>Sales Manager</t>
  </si>
  <si>
    <t>2022-06-25</t>
  </si>
  <si>
    <t>Below Average</t>
  </si>
  <si>
    <t>EMP1003</t>
  </si>
  <si>
    <t>Male</t>
  </si>
  <si>
    <t>Dallas</t>
  </si>
  <si>
    <t>Engineering</t>
  </si>
  <si>
    <t>Senior Engineer</t>
  </si>
  <si>
    <t>2024-09-04</t>
  </si>
  <si>
    <t>EMP1004</t>
  </si>
  <si>
    <t>Phoenix</t>
  </si>
  <si>
    <t>DevOps Engineer</t>
  </si>
  <si>
    <t>2024-02-03</t>
  </si>
  <si>
    <t>EMP1005</t>
  </si>
  <si>
    <t>San Diego</t>
  </si>
  <si>
    <t>Operations</t>
  </si>
  <si>
    <t>Operations Manager</t>
  </si>
  <si>
    <t>2024-06-27</t>
  </si>
  <si>
    <t>EMP1006</t>
  </si>
  <si>
    <t>Diploma</t>
  </si>
  <si>
    <t>Los Angeles</t>
  </si>
  <si>
    <t>Accountant</t>
  </si>
  <si>
    <t>2023-11-04</t>
  </si>
  <si>
    <t>EMP1007</t>
  </si>
  <si>
    <t>PhD</t>
  </si>
  <si>
    <t>San Jose</t>
  </si>
  <si>
    <t>Customer Support</t>
  </si>
  <si>
    <t>Support Lead</t>
  </si>
  <si>
    <t>Contract</t>
  </si>
  <si>
    <t>2023-02-25</t>
  </si>
  <si>
    <t>EMP1008</t>
  </si>
  <si>
    <t>Account Manager</t>
  </si>
  <si>
    <t>2022-03-19</t>
  </si>
  <si>
    <t>EMP1009</t>
  </si>
  <si>
    <t>Master's</t>
  </si>
  <si>
    <t>Software Engineer</t>
  </si>
  <si>
    <t>2021-11-03</t>
  </si>
  <si>
    <t>EMP1010</t>
  </si>
  <si>
    <t>Houston</t>
  </si>
  <si>
    <t>Sales Executive</t>
  </si>
  <si>
    <t>2021-04-10</t>
  </si>
  <si>
    <t>EMP1011</t>
  </si>
  <si>
    <t>Part-Time</t>
  </si>
  <si>
    <t>2023-10-14</t>
  </si>
  <si>
    <t>EMP1012</t>
  </si>
  <si>
    <t>Marketing</t>
  </si>
  <si>
    <t>Marketing Manager</t>
  </si>
  <si>
    <t>2021-07-28</t>
  </si>
  <si>
    <t>Excellent</t>
  </si>
  <si>
    <t>EMP1013</t>
  </si>
  <si>
    <t>2021-03-25</t>
  </si>
  <si>
    <t>EMP1014</t>
  </si>
  <si>
    <t>Business Development Rep</t>
  </si>
  <si>
    <t>2023-10-02</t>
  </si>
  <si>
    <t>EMP1015</t>
  </si>
  <si>
    <t>2022-06-20</t>
  </si>
  <si>
    <t>EMP1016</t>
  </si>
  <si>
    <t>2024-07-25</t>
  </si>
  <si>
    <t>EMP1017</t>
  </si>
  <si>
    <t>Tech Lead</t>
  </si>
  <si>
    <t>2024-03-20</t>
  </si>
  <si>
    <t>Average</t>
  </si>
  <si>
    <t>EMP1018</t>
  </si>
  <si>
    <t>HR</t>
  </si>
  <si>
    <t>Recruiter</t>
  </si>
  <si>
    <t>2024-04-08</t>
  </si>
  <si>
    <t>EMP1019</t>
  </si>
  <si>
    <t>2023-11-24</t>
  </si>
  <si>
    <t>EMP1020</t>
  </si>
  <si>
    <t>2022-10-05</t>
  </si>
  <si>
    <t>EMP1021</t>
  </si>
  <si>
    <t>2021-07-02</t>
  </si>
  <si>
    <t>EMP1022</t>
  </si>
  <si>
    <t>Controller</t>
  </si>
  <si>
    <t>2021-01-09</t>
  </si>
  <si>
    <t>EMP1023</t>
  </si>
  <si>
    <t>2022-12-05</t>
  </si>
  <si>
    <t>EMP1024</t>
  </si>
  <si>
    <t>2024-06-09</t>
  </si>
  <si>
    <t>EMP1025</t>
  </si>
  <si>
    <t>IT</t>
  </si>
  <si>
    <t>Systems Administrator</t>
  </si>
  <si>
    <t>2022-03-03</t>
  </si>
  <si>
    <t>EMP1026</t>
  </si>
  <si>
    <t>2021-06-14</t>
  </si>
  <si>
    <t>EMP1027</t>
  </si>
  <si>
    <t>2021-06-22</t>
  </si>
  <si>
    <t>EMP1028</t>
  </si>
  <si>
    <t>2022-01-05</t>
  </si>
  <si>
    <t>EMP1029</t>
  </si>
  <si>
    <t>2023-04-04</t>
  </si>
  <si>
    <t>EMP1030</t>
  </si>
  <si>
    <t>L&amp;D Specialist</t>
  </si>
  <si>
    <t>2023-12-03</t>
  </si>
  <si>
    <t>EMP1031</t>
  </si>
  <si>
    <t>Operations Analyst</t>
  </si>
  <si>
    <t>2024-09-05</t>
  </si>
  <si>
    <t>EMP1032</t>
  </si>
  <si>
    <t>2022-03-14</t>
  </si>
  <si>
    <t>EMP1033</t>
  </si>
  <si>
    <t>New York</t>
  </si>
  <si>
    <t>Content Strategist</t>
  </si>
  <si>
    <t>2021-09-21</t>
  </si>
  <si>
    <t>EMP1034</t>
  </si>
  <si>
    <t>2023-11-10</t>
  </si>
  <si>
    <t>EMP1035</t>
  </si>
  <si>
    <t>2023-09-18</t>
  </si>
  <si>
    <t>EMP1036</t>
  </si>
  <si>
    <t>HR Manager</t>
  </si>
  <si>
    <t>2024-08-10</t>
  </si>
  <si>
    <t>EMP1037</t>
  </si>
  <si>
    <t>2023-07-12</t>
  </si>
  <si>
    <t>EMP1038</t>
  </si>
  <si>
    <t>HR Executive</t>
  </si>
  <si>
    <t>2023-03-07</t>
  </si>
  <si>
    <t>EMP1039</t>
  </si>
  <si>
    <t>San Antonio</t>
  </si>
  <si>
    <t>2023-10-11</t>
  </si>
  <si>
    <t>EMP1040</t>
  </si>
  <si>
    <t>2022-09-21</t>
  </si>
  <si>
    <t>EMP1041</t>
  </si>
  <si>
    <t>2021-12-05</t>
  </si>
  <si>
    <t>EMP1042</t>
  </si>
  <si>
    <t>2023-05-23</t>
  </si>
  <si>
    <t>EMP1043</t>
  </si>
  <si>
    <t>2023-08-21</t>
  </si>
  <si>
    <t>EMP1044</t>
  </si>
  <si>
    <t>2022-01-18</t>
  </si>
  <si>
    <t>EMP1045</t>
  </si>
  <si>
    <t>2021-07-26</t>
  </si>
  <si>
    <t>EMP1046</t>
  </si>
  <si>
    <t>2023-03-24</t>
  </si>
  <si>
    <t>EMP1047</t>
  </si>
  <si>
    <t>2023-04-01</t>
  </si>
  <si>
    <t>EMP1048</t>
  </si>
  <si>
    <t>2023-12-04</t>
  </si>
  <si>
    <t>EMP1049</t>
  </si>
  <si>
    <t>2023-02-19</t>
  </si>
  <si>
    <t>EMP1050</t>
  </si>
  <si>
    <t>2024-10-02</t>
  </si>
  <si>
    <t>EMP1051</t>
  </si>
  <si>
    <t>2022-11-24</t>
  </si>
  <si>
    <t>EMP1052</t>
  </si>
  <si>
    <t>2021-01-10</t>
  </si>
  <si>
    <t>EMP1053</t>
  </si>
  <si>
    <t>2021-08-20</t>
  </si>
  <si>
    <t>EMP1054</t>
  </si>
  <si>
    <t>IT Manager</t>
  </si>
  <si>
    <t>2022-07-10</t>
  </si>
  <si>
    <t>EMP1055</t>
  </si>
  <si>
    <t>2024-04-28</t>
  </si>
  <si>
    <t>EMP1056</t>
  </si>
  <si>
    <t>2022-01-09</t>
  </si>
  <si>
    <t>EMP1057</t>
  </si>
  <si>
    <t>2022-07-08</t>
  </si>
  <si>
    <t>EMP1058</t>
  </si>
  <si>
    <t>EMP1059</t>
  </si>
  <si>
    <t>2023-03-05</t>
  </si>
  <si>
    <t>EMP1060</t>
  </si>
  <si>
    <t>2024-06-02</t>
  </si>
  <si>
    <t>EMP1061</t>
  </si>
  <si>
    <t>Network Engineer</t>
  </si>
  <si>
    <t>2023-06-09</t>
  </si>
  <si>
    <t>EMP1062</t>
  </si>
  <si>
    <t>2021-12-06</t>
  </si>
  <si>
    <t>EMP1063</t>
  </si>
  <si>
    <t>2021-03-28</t>
  </si>
  <si>
    <t>EMP1064</t>
  </si>
  <si>
    <t>Finance Manager</t>
  </si>
  <si>
    <t>2021-09-24</t>
  </si>
  <si>
    <t>EMP1065</t>
  </si>
  <si>
    <t>Supply Chain Analyst</t>
  </si>
  <si>
    <t>2022-11-19</t>
  </si>
  <si>
    <t>EMP1066</t>
  </si>
  <si>
    <t>2023-02-05</t>
  </si>
  <si>
    <t>EMP1067</t>
  </si>
  <si>
    <t>2022-10-17</t>
  </si>
  <si>
    <t>EMP1068</t>
  </si>
  <si>
    <t>2021-03-10</t>
  </si>
  <si>
    <t>EMP1069</t>
  </si>
  <si>
    <t>2023-12-23</t>
  </si>
  <si>
    <t>EMP1070</t>
  </si>
  <si>
    <t>2021-07-22</t>
  </si>
  <si>
    <t>EMP1071</t>
  </si>
  <si>
    <t>2021-02-25</t>
  </si>
  <si>
    <t>EMP1072</t>
  </si>
  <si>
    <t>2022-06-01</t>
  </si>
  <si>
    <t>EMP1073</t>
  </si>
  <si>
    <t>Support Analyst</t>
  </si>
  <si>
    <t>2021-01-28</t>
  </si>
  <si>
    <t>EMP1074</t>
  </si>
  <si>
    <t>2022-08-19</t>
  </si>
  <si>
    <t>EMP1075</t>
  </si>
  <si>
    <t>2023-10-13</t>
  </si>
  <si>
    <t>EMP1076</t>
  </si>
  <si>
    <t>2022-09-13</t>
  </si>
  <si>
    <t>EMP1077</t>
  </si>
  <si>
    <t>2021-08-05</t>
  </si>
  <si>
    <t>EMP1078</t>
  </si>
  <si>
    <t>2024-10-24</t>
  </si>
  <si>
    <t>EMP1079</t>
  </si>
  <si>
    <t>2022-05-28</t>
  </si>
  <si>
    <t>EMP1080</t>
  </si>
  <si>
    <t>2021-10-12</t>
  </si>
  <si>
    <t>EMP1081</t>
  </si>
  <si>
    <t>2022-11-13</t>
  </si>
  <si>
    <t>EMP1082</t>
  </si>
  <si>
    <t>2021-12-15</t>
  </si>
  <si>
    <t>EMP1083</t>
  </si>
  <si>
    <t>2024-01-04</t>
  </si>
  <si>
    <t>EMP1084</t>
  </si>
  <si>
    <t>2022-07-21</t>
  </si>
  <si>
    <t>EMP1085</t>
  </si>
  <si>
    <t>2021-02-11</t>
  </si>
  <si>
    <t>EMP1086</t>
  </si>
  <si>
    <t>EMP1087</t>
  </si>
  <si>
    <t>2024-05-21</t>
  </si>
  <si>
    <t>EMP1088</t>
  </si>
  <si>
    <t>2024-02-01</t>
  </si>
  <si>
    <t>EMP1089</t>
  </si>
  <si>
    <t>2022-03-18</t>
  </si>
  <si>
    <t>EMP1090</t>
  </si>
  <si>
    <t>2022-02-01</t>
  </si>
  <si>
    <t>EMP1091</t>
  </si>
  <si>
    <t>2021-08-15</t>
  </si>
  <si>
    <t>EMP1092</t>
  </si>
  <si>
    <t>2022-03-28</t>
  </si>
  <si>
    <t>EMP1093</t>
  </si>
  <si>
    <t>2024-05-25</t>
  </si>
  <si>
    <t>EMP1094</t>
  </si>
  <si>
    <t>2021-04-18</t>
  </si>
  <si>
    <t>EMP1095</t>
  </si>
  <si>
    <t>2024-12-12</t>
  </si>
  <si>
    <t>EMP1096</t>
  </si>
  <si>
    <t>2022-03-25</t>
  </si>
  <si>
    <t>EMP1097</t>
  </si>
  <si>
    <t>2021-04-27</t>
  </si>
  <si>
    <t>EMP1098</t>
  </si>
  <si>
    <t>EMP1099</t>
  </si>
  <si>
    <t>2023-02-02</t>
  </si>
  <si>
    <t>EMP1100</t>
  </si>
  <si>
    <t>2022-11-10</t>
  </si>
  <si>
    <t>EMP1101</t>
  </si>
  <si>
    <t>2023-07-09</t>
  </si>
  <si>
    <t>EMP1102</t>
  </si>
  <si>
    <t>2021-04-19</t>
  </si>
  <si>
    <t>EMP1103</t>
  </si>
  <si>
    <t>2024-09-10</t>
  </si>
  <si>
    <t>EMP1104</t>
  </si>
  <si>
    <t>Marketing Analyst</t>
  </si>
  <si>
    <t>2022-02-28</t>
  </si>
  <si>
    <t>EMP1105</t>
  </si>
  <si>
    <t>2023-04-22</t>
  </si>
  <si>
    <t>EMP1106</t>
  </si>
  <si>
    <t>2021-04-12</t>
  </si>
  <si>
    <t>EMP1107</t>
  </si>
  <si>
    <t>2024-03-14</t>
  </si>
  <si>
    <t>EMP1108</t>
  </si>
  <si>
    <t>2022-07-06</t>
  </si>
  <si>
    <t>EMP1109</t>
  </si>
  <si>
    <t>EMP1110</t>
  </si>
  <si>
    <t>IT Analyst</t>
  </si>
  <si>
    <t>2021-08-28</t>
  </si>
  <si>
    <t>EMP1111</t>
  </si>
  <si>
    <t>EMP1112</t>
  </si>
  <si>
    <t>2021-09-19</t>
  </si>
  <si>
    <t>EMP1113</t>
  </si>
  <si>
    <t>2021-02-13</t>
  </si>
  <si>
    <t>EMP1114</t>
  </si>
  <si>
    <t>2021-05-28</t>
  </si>
  <si>
    <t>EMP1115</t>
  </si>
  <si>
    <t>2023-06-01</t>
  </si>
  <si>
    <t>EMP1116</t>
  </si>
  <si>
    <t>Support Executive</t>
  </si>
  <si>
    <t>2024-12-16</t>
  </si>
  <si>
    <t>EMP1117</t>
  </si>
  <si>
    <t>2023-12-07</t>
  </si>
  <si>
    <t>EMP1118</t>
  </si>
  <si>
    <t>2021-05-01</t>
  </si>
  <si>
    <t>EMP1119</t>
  </si>
  <si>
    <t>EMP1120</t>
  </si>
  <si>
    <t>2021-06-09</t>
  </si>
  <si>
    <t>EMP1121</t>
  </si>
  <si>
    <t>Logistics Coordinator</t>
  </si>
  <si>
    <t>2024-07-13</t>
  </si>
  <si>
    <t>EMP1122</t>
  </si>
  <si>
    <t>SEO Specialist</t>
  </si>
  <si>
    <t>2022-11-11</t>
  </si>
  <si>
    <t>EMP1123</t>
  </si>
  <si>
    <t>EMP1124</t>
  </si>
  <si>
    <t>2024-05-07</t>
  </si>
  <si>
    <t>EMP1125</t>
  </si>
  <si>
    <t>2022-04-23</t>
  </si>
  <si>
    <t>EMP1126</t>
  </si>
  <si>
    <t>2023-04-06</t>
  </si>
  <si>
    <t>EMP1127</t>
  </si>
  <si>
    <t>2021-01-23</t>
  </si>
  <si>
    <t>EMP1128</t>
  </si>
  <si>
    <t>2021-05-04</t>
  </si>
  <si>
    <t>EMP1129</t>
  </si>
  <si>
    <t>Customer Success Manager</t>
  </si>
  <si>
    <t>2021-02-27</t>
  </si>
  <si>
    <t>EMP1130</t>
  </si>
  <si>
    <t>2023-06-26</t>
  </si>
  <si>
    <t>EMP1131</t>
  </si>
  <si>
    <t>2024-07-15</t>
  </si>
  <si>
    <t>EMP1132</t>
  </si>
  <si>
    <t>2022-10-13</t>
  </si>
  <si>
    <t>EMP1133</t>
  </si>
  <si>
    <t>EMP1134</t>
  </si>
  <si>
    <t>2022-06-09</t>
  </si>
  <si>
    <t>EMP1135</t>
  </si>
  <si>
    <t>2021-02-26</t>
  </si>
  <si>
    <t>EMP1136</t>
  </si>
  <si>
    <t>2024-02-04</t>
  </si>
  <si>
    <t>EMP1137</t>
  </si>
  <si>
    <t>2024-04-15</t>
  </si>
  <si>
    <t>EMP1138</t>
  </si>
  <si>
    <t>2024-09-25</t>
  </si>
  <si>
    <t>EMP1139</t>
  </si>
  <si>
    <t>2024-10-23</t>
  </si>
  <si>
    <t>EMP1140</t>
  </si>
  <si>
    <t>2024-10-19</t>
  </si>
  <si>
    <t>EMP1141</t>
  </si>
  <si>
    <t>2023-04-25</t>
  </si>
  <si>
    <t>EMP1142</t>
  </si>
  <si>
    <t>2023-09-02</t>
  </si>
  <si>
    <t>EMP1143</t>
  </si>
  <si>
    <t>2022-12-17</t>
  </si>
  <si>
    <t>EMP1144</t>
  </si>
  <si>
    <t>2023-02-26</t>
  </si>
  <si>
    <t>EMP1145</t>
  </si>
  <si>
    <t>2024-09-27</t>
  </si>
  <si>
    <t>EMP1146</t>
  </si>
  <si>
    <t>2023-09-26</t>
  </si>
  <si>
    <t>EMP1147</t>
  </si>
  <si>
    <t>EMP1148</t>
  </si>
  <si>
    <t>EMP1149</t>
  </si>
  <si>
    <t>2021-08-06</t>
  </si>
  <si>
    <t>EMP1150</t>
  </si>
  <si>
    <t>2024-09-18</t>
  </si>
  <si>
    <t>EMP1151</t>
  </si>
  <si>
    <t>2024-11-18</t>
  </si>
  <si>
    <t>EMP1152</t>
  </si>
  <si>
    <t>2023-12-19</t>
  </si>
  <si>
    <t>EMP1153</t>
  </si>
  <si>
    <t>2021-03-21</t>
  </si>
  <si>
    <t>EMP1154</t>
  </si>
  <si>
    <t>2024-11-25</t>
  </si>
  <si>
    <t>EMP1155</t>
  </si>
  <si>
    <t>2022-12-24</t>
  </si>
  <si>
    <t>EMP1156</t>
  </si>
  <si>
    <t>2023-12-09</t>
  </si>
  <si>
    <t>EMP1157</t>
  </si>
  <si>
    <t>2021-09-05</t>
  </si>
  <si>
    <t>EMP1158</t>
  </si>
  <si>
    <t>2022-11-27</t>
  </si>
  <si>
    <t>EMP1159</t>
  </si>
  <si>
    <t>2023-02-07</t>
  </si>
  <si>
    <t>EMP1160</t>
  </si>
  <si>
    <t>2024-07-05</t>
  </si>
  <si>
    <t>EMP1161</t>
  </si>
  <si>
    <t>2021-11-21</t>
  </si>
  <si>
    <t>EMP1162</t>
  </si>
  <si>
    <t>2021-05-20</t>
  </si>
  <si>
    <t>EMP1163</t>
  </si>
  <si>
    <t>2023-09-14</t>
  </si>
  <si>
    <t>EMP1164</t>
  </si>
  <si>
    <t>2022-08-26</t>
  </si>
  <si>
    <t>EMP1165</t>
  </si>
  <si>
    <t>2023-02-20</t>
  </si>
  <si>
    <t>EMP1166</t>
  </si>
  <si>
    <t>2022-10-06</t>
  </si>
  <si>
    <t>EMP1167</t>
  </si>
  <si>
    <t>2023-06-27</t>
  </si>
  <si>
    <t>EMP1168</t>
  </si>
  <si>
    <t>2023-12-15</t>
  </si>
  <si>
    <t>EMP1169</t>
  </si>
  <si>
    <t>2021-12-27</t>
  </si>
  <si>
    <t>EMP1170</t>
  </si>
  <si>
    <t>2022-05-07</t>
  </si>
  <si>
    <t>EMP1171</t>
  </si>
  <si>
    <t>2023-08-06</t>
  </si>
  <si>
    <t>EMP1172</t>
  </si>
  <si>
    <t>2022-07-19</t>
  </si>
  <si>
    <t>EMP1173</t>
  </si>
  <si>
    <t>EMP1174</t>
  </si>
  <si>
    <t>2023-08-10</t>
  </si>
  <si>
    <t>EMP1175</t>
  </si>
  <si>
    <t>2023-11-20</t>
  </si>
  <si>
    <t>EMP1176</t>
  </si>
  <si>
    <t>2021-02-06</t>
  </si>
  <si>
    <t>EMP1177</t>
  </si>
  <si>
    <t>2022-11-09</t>
  </si>
  <si>
    <t>EMP1178</t>
  </si>
  <si>
    <t>2024-05-08</t>
  </si>
  <si>
    <t>EMP1179</t>
  </si>
  <si>
    <t>2022-10-20</t>
  </si>
  <si>
    <t>EMP1180</t>
  </si>
  <si>
    <t>2021-12-16</t>
  </si>
  <si>
    <t>EMP1181</t>
  </si>
  <si>
    <t>2022-09-25</t>
  </si>
  <si>
    <t>EMP1182</t>
  </si>
  <si>
    <t>2021-09-01</t>
  </si>
  <si>
    <t>EMP1183</t>
  </si>
  <si>
    <t>2021-05-25</t>
  </si>
  <si>
    <t>EMP1184</t>
  </si>
  <si>
    <t>2022-08-13</t>
  </si>
  <si>
    <t>EMP1185</t>
  </si>
  <si>
    <t>2023-10-04</t>
  </si>
  <si>
    <t>EMP1186</t>
  </si>
  <si>
    <t>2021-03-16</t>
  </si>
  <si>
    <t>EMP1187</t>
  </si>
  <si>
    <t>2022-09-12</t>
  </si>
  <si>
    <t>EMP1188</t>
  </si>
  <si>
    <t>2023-10-08</t>
  </si>
  <si>
    <t>EMP1189</t>
  </si>
  <si>
    <t>2021-04-04</t>
  </si>
  <si>
    <t>EMP1190</t>
  </si>
  <si>
    <t>2024-11-02</t>
  </si>
  <si>
    <t>EMP1191</t>
  </si>
  <si>
    <t>2022-04-17</t>
  </si>
  <si>
    <t>EMP1192</t>
  </si>
  <si>
    <t>2024-06-11</t>
  </si>
  <si>
    <t>EMP1193</t>
  </si>
  <si>
    <t>EMP1194</t>
  </si>
  <si>
    <t>2022-03-09</t>
  </si>
  <si>
    <t>EMP1195</t>
  </si>
  <si>
    <t>2024-02-25</t>
  </si>
  <si>
    <t>EMP1196</t>
  </si>
  <si>
    <t>2023-09-23</t>
  </si>
  <si>
    <t>EMP1197</t>
  </si>
  <si>
    <t>2024-09-14</t>
  </si>
  <si>
    <t>EMP1198</t>
  </si>
  <si>
    <t>2023-06-07</t>
  </si>
  <si>
    <t>EMP1199</t>
  </si>
  <si>
    <t>2021-12-02</t>
  </si>
  <si>
    <t>EMP1200</t>
  </si>
  <si>
    <t>2022-12-23</t>
  </si>
  <si>
    <t>EMP1201</t>
  </si>
  <si>
    <t>2024-04-13</t>
  </si>
  <si>
    <t>EMP1202</t>
  </si>
  <si>
    <t>2023-06-21</t>
  </si>
  <si>
    <t>EMP1203</t>
  </si>
  <si>
    <t>2024-09-22</t>
  </si>
  <si>
    <t>EMP1204</t>
  </si>
  <si>
    <t>2022-07-25</t>
  </si>
  <si>
    <t>EMP1205</t>
  </si>
  <si>
    <t>2022-03-01</t>
  </si>
  <si>
    <t>EMP1206</t>
  </si>
  <si>
    <t>2022-03-07</t>
  </si>
  <si>
    <t>EMP1207</t>
  </si>
  <si>
    <t>2021-10-24</t>
  </si>
  <si>
    <t>EMP1208</t>
  </si>
  <si>
    <t>EMP1209</t>
  </si>
  <si>
    <t>2022-07-14</t>
  </si>
  <si>
    <t>EMP1210</t>
  </si>
  <si>
    <t>2022-07-18</t>
  </si>
  <si>
    <t>EMP1211</t>
  </si>
  <si>
    <t>2021-10-25</t>
  </si>
  <si>
    <t>EMP1212</t>
  </si>
  <si>
    <t>2022-01-06</t>
  </si>
  <si>
    <t>EMP1213</t>
  </si>
  <si>
    <t>EMP1214</t>
  </si>
  <si>
    <t>EMP1215</t>
  </si>
  <si>
    <t>2022-12-10</t>
  </si>
  <si>
    <t>EMP1216</t>
  </si>
  <si>
    <t>2023-02-10</t>
  </si>
  <si>
    <t>EMP1217</t>
  </si>
  <si>
    <t>2023-08-26</t>
  </si>
  <si>
    <t>EMP1218</t>
  </si>
  <si>
    <t>EMP1219</t>
  </si>
  <si>
    <t>2021-04-03</t>
  </si>
  <si>
    <t>EMP1220</t>
  </si>
  <si>
    <t>EMP1221</t>
  </si>
  <si>
    <t>2023-03-06</t>
  </si>
  <si>
    <t>EMP1222</t>
  </si>
  <si>
    <t>2021-08-22</t>
  </si>
  <si>
    <t>EMP1223</t>
  </si>
  <si>
    <t>2022-02-27</t>
  </si>
  <si>
    <t>EMP1224</t>
  </si>
  <si>
    <t>2024-02-12</t>
  </si>
  <si>
    <t>EMP1225</t>
  </si>
  <si>
    <t>2022-09-06</t>
  </si>
  <si>
    <t>EMP1226</t>
  </si>
  <si>
    <t>2023-09-04</t>
  </si>
  <si>
    <t>EMP1227</t>
  </si>
  <si>
    <t>EMP1228</t>
  </si>
  <si>
    <t>2021-06-18</t>
  </si>
  <si>
    <t>EMP1229</t>
  </si>
  <si>
    <t>2024-03-07</t>
  </si>
  <si>
    <t>EMP1230</t>
  </si>
  <si>
    <t>2024-08-26</t>
  </si>
  <si>
    <t>EMP1231</t>
  </si>
  <si>
    <t>2023-01-02</t>
  </si>
  <si>
    <t>EMP1232</t>
  </si>
  <si>
    <t>EMP1233</t>
  </si>
  <si>
    <t>2021-11-16</t>
  </si>
  <si>
    <t>EMP1234</t>
  </si>
  <si>
    <t>2022-11-15</t>
  </si>
  <si>
    <t>EMP1235</t>
  </si>
  <si>
    <t>2022-04-19</t>
  </si>
  <si>
    <t>EMP1236</t>
  </si>
  <si>
    <t>2024-07-22</t>
  </si>
  <si>
    <t>EMP1237</t>
  </si>
  <si>
    <t>2022-12-22</t>
  </si>
  <si>
    <t>EMP1238</t>
  </si>
  <si>
    <t>2022-01-01</t>
  </si>
  <si>
    <t>EMP1239</t>
  </si>
  <si>
    <t>2021-11-15</t>
  </si>
  <si>
    <t>EMP1240</t>
  </si>
  <si>
    <t>2024-03-21</t>
  </si>
  <si>
    <t>EMP1241</t>
  </si>
  <si>
    <t>2021-11-13</t>
  </si>
  <si>
    <t>EMP1242</t>
  </si>
  <si>
    <t>EMP1243</t>
  </si>
  <si>
    <t>2021-11-23</t>
  </si>
  <si>
    <t>EMP1244</t>
  </si>
  <si>
    <t>2024-01-02</t>
  </si>
  <si>
    <t>EMP1245</t>
  </si>
  <si>
    <t>2021-04-23</t>
  </si>
  <si>
    <t>EMP1246</t>
  </si>
  <si>
    <t>2024-06-04</t>
  </si>
  <si>
    <t>EMP1247</t>
  </si>
  <si>
    <t>2021-03-04</t>
  </si>
  <si>
    <t>EMP1248</t>
  </si>
  <si>
    <t>2024-07-08</t>
  </si>
  <si>
    <t>EMP1249</t>
  </si>
  <si>
    <t>2022-08-25</t>
  </si>
  <si>
    <t>EMP1250</t>
  </si>
  <si>
    <t>EMP1251</t>
  </si>
  <si>
    <t>EMP1252</t>
  </si>
  <si>
    <t>2021-05-05</t>
  </si>
  <si>
    <t>EMP1253</t>
  </si>
  <si>
    <t>2022-10-16</t>
  </si>
  <si>
    <t>EMP1254</t>
  </si>
  <si>
    <t>2024-09-13</t>
  </si>
  <si>
    <t>EMP1255</t>
  </si>
  <si>
    <t>EMP1256</t>
  </si>
  <si>
    <t>2023-12-02</t>
  </si>
  <si>
    <t>EMP1257</t>
  </si>
  <si>
    <t>2022-12-25</t>
  </si>
  <si>
    <t>EMP1258</t>
  </si>
  <si>
    <t>2021-04-15</t>
  </si>
  <si>
    <t>EMP1259</t>
  </si>
  <si>
    <t>2022-08-12</t>
  </si>
  <si>
    <t>EMP1260</t>
  </si>
  <si>
    <t>2023-03-26</t>
  </si>
  <si>
    <t>EMP1261</t>
  </si>
  <si>
    <t>2022-08-09</t>
  </si>
  <si>
    <t>EMP1262</t>
  </si>
  <si>
    <t>2022-01-24</t>
  </si>
  <si>
    <t>EMP1263</t>
  </si>
  <si>
    <t>EMP1264</t>
  </si>
  <si>
    <t>2021-11-12</t>
  </si>
  <si>
    <t>EMP1265</t>
  </si>
  <si>
    <t>2024-03-27</t>
  </si>
  <si>
    <t>EMP1266</t>
  </si>
  <si>
    <t>2022-04-06</t>
  </si>
  <si>
    <t>EMP1267</t>
  </si>
  <si>
    <t>2023-07-06</t>
  </si>
  <si>
    <t>EMP1268</t>
  </si>
  <si>
    <t>2021-03-11</t>
  </si>
  <si>
    <t>EMP1269</t>
  </si>
  <si>
    <t>2022-09-11</t>
  </si>
  <si>
    <t>EMP1270</t>
  </si>
  <si>
    <t>2022-09-20</t>
  </si>
  <si>
    <t>EMP1271</t>
  </si>
  <si>
    <t>2021-04-05</t>
  </si>
  <si>
    <t>EMP1272</t>
  </si>
  <si>
    <t>2021-02-10</t>
  </si>
  <si>
    <t>EMP1273</t>
  </si>
  <si>
    <t>2021-09-07</t>
  </si>
  <si>
    <t>EMP1274</t>
  </si>
  <si>
    <t>2022-09-08</t>
  </si>
  <si>
    <t>EMP1275</t>
  </si>
  <si>
    <t>2023-11-27</t>
  </si>
  <si>
    <t>EMP1276</t>
  </si>
  <si>
    <t>EMP1277</t>
  </si>
  <si>
    <t>2024-09-09</t>
  </si>
  <si>
    <t>EMP1278</t>
  </si>
  <si>
    <t>2021-02-22</t>
  </si>
  <si>
    <t>EMP1279</t>
  </si>
  <si>
    <t>EMP1280</t>
  </si>
  <si>
    <t>2021-07-09</t>
  </si>
  <si>
    <t>EMP1281</t>
  </si>
  <si>
    <t>EMP1282</t>
  </si>
  <si>
    <t>2021-06-13</t>
  </si>
  <si>
    <t>EMP1283</t>
  </si>
  <si>
    <t>2022-05-09</t>
  </si>
  <si>
    <t>EMP1284</t>
  </si>
  <si>
    <t>EMP1285</t>
  </si>
  <si>
    <t>EMP1286</t>
  </si>
  <si>
    <t>2022-05-22</t>
  </si>
  <si>
    <t>EMP1287</t>
  </si>
  <si>
    <t>2023-11-18</t>
  </si>
  <si>
    <t>EMP1288</t>
  </si>
  <si>
    <t>2022-04-04</t>
  </si>
  <si>
    <t>EMP1289</t>
  </si>
  <si>
    <t>2024-04-05</t>
  </si>
  <si>
    <t>EMP1290</t>
  </si>
  <si>
    <t>2023-08-23</t>
  </si>
  <si>
    <t>EMP1291</t>
  </si>
  <si>
    <t>2024-07-01</t>
  </si>
  <si>
    <t>EMP1292</t>
  </si>
  <si>
    <t>2023-12-14</t>
  </si>
  <si>
    <t>EMP1293</t>
  </si>
  <si>
    <t>2023-10-03</t>
  </si>
  <si>
    <t>EMP1294</t>
  </si>
  <si>
    <t>2024-06-06</t>
  </si>
  <si>
    <t>EMP1295</t>
  </si>
  <si>
    <t>2023-03-03</t>
  </si>
  <si>
    <t>EMP1296</t>
  </si>
  <si>
    <t>2022-10-07</t>
  </si>
  <si>
    <t>EMP1297</t>
  </si>
  <si>
    <t>2022-12-13</t>
  </si>
  <si>
    <t>EMP1298</t>
  </si>
  <si>
    <t>2023-03-18</t>
  </si>
  <si>
    <t>EMP1299</t>
  </si>
  <si>
    <t>2023-07-10</t>
  </si>
  <si>
    <t>EMP1300</t>
  </si>
  <si>
    <t>2024-07-04</t>
  </si>
  <si>
    <t>EMP1301</t>
  </si>
  <si>
    <t>2022-10-01</t>
  </si>
  <si>
    <t>EMP1302</t>
  </si>
  <si>
    <t>2024-08-21</t>
  </si>
  <si>
    <t>EMP1303</t>
  </si>
  <si>
    <t>EMP1304</t>
  </si>
  <si>
    <t>2023-09-07</t>
  </si>
  <si>
    <t>EMP1305</t>
  </si>
  <si>
    <t>2022-08-17</t>
  </si>
  <si>
    <t>EMP1306</t>
  </si>
  <si>
    <t>2021-09-14</t>
  </si>
  <si>
    <t>EMP1307</t>
  </si>
  <si>
    <t>2023-06-19</t>
  </si>
  <si>
    <t>EMP1308</t>
  </si>
  <si>
    <t>2024-08-23</t>
  </si>
  <si>
    <t>EMP1309</t>
  </si>
  <si>
    <t>2022-07-27</t>
  </si>
  <si>
    <t>EMP1310</t>
  </si>
  <si>
    <t>2024-01-11</t>
  </si>
  <si>
    <t>EMP1311</t>
  </si>
  <si>
    <t>2021-07-19</t>
  </si>
  <si>
    <t>EMP1312</t>
  </si>
  <si>
    <t>2022-10-22</t>
  </si>
  <si>
    <t>EMP1313</t>
  </si>
  <si>
    <t>2022-03-20</t>
  </si>
  <si>
    <t>EMP1314</t>
  </si>
  <si>
    <t>2021-09-08</t>
  </si>
  <si>
    <t>EMP1315</t>
  </si>
  <si>
    <t>2021-09-02</t>
  </si>
  <si>
    <t>EMP1316</t>
  </si>
  <si>
    <t>2022-08-14</t>
  </si>
  <si>
    <t>EMP1317</t>
  </si>
  <si>
    <t>2024-07-14</t>
  </si>
  <si>
    <t>EMP1318</t>
  </si>
  <si>
    <t>EMP1319</t>
  </si>
  <si>
    <t>2024-04-10</t>
  </si>
  <si>
    <t>EMP1320</t>
  </si>
  <si>
    <t>2023-04-27</t>
  </si>
  <si>
    <t>EMP1321</t>
  </si>
  <si>
    <t>2022-06-10</t>
  </si>
  <si>
    <t>EMP1322</t>
  </si>
  <si>
    <t>2022-08-03</t>
  </si>
  <si>
    <t>EMP1323</t>
  </si>
  <si>
    <t>2021-12-07</t>
  </si>
  <si>
    <t>EMP1324</t>
  </si>
  <si>
    <t>2024-01-26</t>
  </si>
  <si>
    <t>EMP1325</t>
  </si>
  <si>
    <t>2024-06-26</t>
  </si>
  <si>
    <t>EMP1326</t>
  </si>
  <si>
    <t>EMP1327</t>
  </si>
  <si>
    <t>2024-09-01</t>
  </si>
  <si>
    <t>EMP1328</t>
  </si>
  <si>
    <t>EMP1329</t>
  </si>
  <si>
    <t>EMP1330</t>
  </si>
  <si>
    <t>2023-08-18</t>
  </si>
  <si>
    <t>EMP1331</t>
  </si>
  <si>
    <t>2022-03-12</t>
  </si>
  <si>
    <t>EMP1332</t>
  </si>
  <si>
    <t>EMP1333</t>
  </si>
  <si>
    <t>EMP1334</t>
  </si>
  <si>
    <t>2024-07-18</t>
  </si>
  <si>
    <t>EMP1335</t>
  </si>
  <si>
    <t>2021-05-22</t>
  </si>
  <si>
    <t>EMP1336</t>
  </si>
  <si>
    <t>2024-03-18</t>
  </si>
  <si>
    <t>EMP1337</t>
  </si>
  <si>
    <t>EMP1338</t>
  </si>
  <si>
    <t>2021-12-08</t>
  </si>
  <si>
    <t>EMP1339</t>
  </si>
  <si>
    <t>2021-06-17</t>
  </si>
  <si>
    <t>EMP1340</t>
  </si>
  <si>
    <t>EMP1341</t>
  </si>
  <si>
    <t>2021-08-17</t>
  </si>
  <si>
    <t>EMP1342</t>
  </si>
  <si>
    <t>2021-01-05</t>
  </si>
  <si>
    <t>EMP1343</t>
  </si>
  <si>
    <t>2021-07-12</t>
  </si>
  <si>
    <t>EMP1344</t>
  </si>
  <si>
    <t>2024-01-16</t>
  </si>
  <si>
    <t>EMP1345</t>
  </si>
  <si>
    <t>2021-09-04</t>
  </si>
  <si>
    <t>EMP1346</t>
  </si>
  <si>
    <t>2021-01-27</t>
  </si>
  <si>
    <t>EMP1347</t>
  </si>
  <si>
    <t>2022-04-18</t>
  </si>
  <si>
    <t>EMP1348</t>
  </si>
  <si>
    <t>2024-11-20</t>
  </si>
  <si>
    <t>EMP1349</t>
  </si>
  <si>
    <t>2021-04-08</t>
  </si>
  <si>
    <t>EMP1350</t>
  </si>
  <si>
    <t>2023-07-15</t>
  </si>
  <si>
    <t>EMP1351</t>
  </si>
  <si>
    <t>2021-02-03</t>
  </si>
  <si>
    <t>EMP1352</t>
  </si>
  <si>
    <t>2023-07-13</t>
  </si>
  <si>
    <t>EMP1353</t>
  </si>
  <si>
    <t>EMP1354</t>
  </si>
  <si>
    <t>EMP1355</t>
  </si>
  <si>
    <t>2024-11-10</t>
  </si>
  <si>
    <t>EMP1356</t>
  </si>
  <si>
    <t>EMP1357</t>
  </si>
  <si>
    <t>2022-09-23</t>
  </si>
  <si>
    <t>EMP1358</t>
  </si>
  <si>
    <t>2024-06-23</t>
  </si>
  <si>
    <t>EMP1359</t>
  </si>
  <si>
    <t>2023-11-03</t>
  </si>
  <si>
    <t>EMP1360</t>
  </si>
  <si>
    <t>2024-07-11</t>
  </si>
  <si>
    <t>EMP1361</t>
  </si>
  <si>
    <t>2022-03-27</t>
  </si>
  <si>
    <t>EMP1362</t>
  </si>
  <si>
    <t>2021-07-23</t>
  </si>
  <si>
    <t>EMP1363</t>
  </si>
  <si>
    <t>2021-11-06</t>
  </si>
  <si>
    <t>EMP1364</t>
  </si>
  <si>
    <t>EMP1365</t>
  </si>
  <si>
    <t>2023-11-23</t>
  </si>
  <si>
    <t>EMP1366</t>
  </si>
  <si>
    <t>2021-05-08</t>
  </si>
  <si>
    <t>EMP1367</t>
  </si>
  <si>
    <t>2021-09-26</t>
  </si>
  <si>
    <t>EMP1368</t>
  </si>
  <si>
    <t>2021-08-03</t>
  </si>
  <si>
    <t>EMP1369</t>
  </si>
  <si>
    <t>2023-05-19</t>
  </si>
  <si>
    <t>EMP1370</t>
  </si>
  <si>
    <t>2023-10-18</t>
  </si>
  <si>
    <t>EMP1371</t>
  </si>
  <si>
    <t>2023-08-13</t>
  </si>
  <si>
    <t>EMP1372</t>
  </si>
  <si>
    <t>EMP1373</t>
  </si>
  <si>
    <t>2022-10-19</t>
  </si>
  <si>
    <t>EMP1374</t>
  </si>
  <si>
    <t>2024-10-10</t>
  </si>
  <si>
    <t>EMP1375</t>
  </si>
  <si>
    <t>EMP1376</t>
  </si>
  <si>
    <t>EMP1377</t>
  </si>
  <si>
    <t>2021-07-20</t>
  </si>
  <si>
    <t>EMP1378</t>
  </si>
  <si>
    <t>2021-01-15</t>
  </si>
  <si>
    <t>EMP1379</t>
  </si>
  <si>
    <t>2023-01-26</t>
  </si>
  <si>
    <t>EMP1380</t>
  </si>
  <si>
    <t>EMP1381</t>
  </si>
  <si>
    <t>EMP1382</t>
  </si>
  <si>
    <t>2024-11-21</t>
  </si>
  <si>
    <t>EMP1383</t>
  </si>
  <si>
    <t>2021-05-02</t>
  </si>
  <si>
    <t>EMP1384</t>
  </si>
  <si>
    <t>2022-08-22</t>
  </si>
  <si>
    <t>EMP1385</t>
  </si>
  <si>
    <t>2023-12-13</t>
  </si>
  <si>
    <t>EMP1386</t>
  </si>
  <si>
    <t>2024-06-25</t>
  </si>
  <si>
    <t>EMP1387</t>
  </si>
  <si>
    <t>EMP1388</t>
  </si>
  <si>
    <t>EMP1389</t>
  </si>
  <si>
    <t>2023-01-04</t>
  </si>
  <si>
    <t>EMP1390</t>
  </si>
  <si>
    <t>2022-02-11</t>
  </si>
  <si>
    <t>EMP1391</t>
  </si>
  <si>
    <t>EMP1392</t>
  </si>
  <si>
    <t>2022-05-02</t>
  </si>
  <si>
    <t>EMP1393</t>
  </si>
  <si>
    <t>EMP1394</t>
  </si>
  <si>
    <t>EMP1395</t>
  </si>
  <si>
    <t>2024-02-11</t>
  </si>
  <si>
    <t>EMP1396</t>
  </si>
  <si>
    <t>2021-09-12</t>
  </si>
  <si>
    <t>EMP1397</t>
  </si>
  <si>
    <t>2022-11-05</t>
  </si>
  <si>
    <t>EMP1398</t>
  </si>
  <si>
    <t>2022-05-21</t>
  </si>
  <si>
    <t>EMP1399</t>
  </si>
  <si>
    <t>2022-08-16</t>
  </si>
  <si>
    <t>EMP1400</t>
  </si>
  <si>
    <t>EMP1401</t>
  </si>
  <si>
    <t>EMP1402</t>
  </si>
  <si>
    <t>2022-07-04</t>
  </si>
  <si>
    <t>EMP1403</t>
  </si>
  <si>
    <t>2022-02-07</t>
  </si>
  <si>
    <t>EMP1404</t>
  </si>
  <si>
    <t>2024-09-24</t>
  </si>
  <si>
    <t>EMP1405</t>
  </si>
  <si>
    <t>2021-07-08</t>
  </si>
  <si>
    <t>EMP1406</t>
  </si>
  <si>
    <t>EMP1407</t>
  </si>
  <si>
    <t>EMP1408</t>
  </si>
  <si>
    <t>2023-05-04</t>
  </si>
  <si>
    <t>EMP1409</t>
  </si>
  <si>
    <t>2021-01-19</t>
  </si>
  <si>
    <t>EMP1410</t>
  </si>
  <si>
    <t>2023-06-15</t>
  </si>
  <si>
    <t>EMP1411</t>
  </si>
  <si>
    <t>2021-03-15</t>
  </si>
  <si>
    <t>EMP1412</t>
  </si>
  <si>
    <t>EMP1413</t>
  </si>
  <si>
    <t>2023-06-03</t>
  </si>
  <si>
    <t>EMP1414</t>
  </si>
  <si>
    <t>2023-11-21</t>
  </si>
  <si>
    <t>EMP1415</t>
  </si>
  <si>
    <t>EMP1416</t>
  </si>
  <si>
    <t>2021-10-04</t>
  </si>
  <si>
    <t>EMP1417</t>
  </si>
  <si>
    <t>EMP1418</t>
  </si>
  <si>
    <t>2022-01-08</t>
  </si>
  <si>
    <t>EMP1419</t>
  </si>
  <si>
    <t>EMP1420</t>
  </si>
  <si>
    <t>EMP1421</t>
  </si>
  <si>
    <t>2023-08-14</t>
  </si>
  <si>
    <t>EMP1422</t>
  </si>
  <si>
    <t>2022-12-03</t>
  </si>
  <si>
    <t>EMP1423</t>
  </si>
  <si>
    <t>EMP1424</t>
  </si>
  <si>
    <t>2024-03-25</t>
  </si>
  <si>
    <t>EMP1425</t>
  </si>
  <si>
    <t>2024-11-15</t>
  </si>
  <si>
    <t>EMP1426</t>
  </si>
  <si>
    <t>EMP1427</t>
  </si>
  <si>
    <t>2021-02-07</t>
  </si>
  <si>
    <t>EMP1428</t>
  </si>
  <si>
    <t>2023-05-13</t>
  </si>
  <si>
    <t>EMP1429</t>
  </si>
  <si>
    <t>EMP1430</t>
  </si>
  <si>
    <t>2023-10-28</t>
  </si>
  <si>
    <t>EMP1431</t>
  </si>
  <si>
    <t>2022-05-06</t>
  </si>
  <si>
    <t>EMP1432</t>
  </si>
  <si>
    <t>2024-07-28</t>
  </si>
  <si>
    <t>EMP1433</t>
  </si>
  <si>
    <t>2022-02-10</t>
  </si>
  <si>
    <t>EMP1434</t>
  </si>
  <si>
    <t>EMP1435</t>
  </si>
  <si>
    <t>2023-07-16</t>
  </si>
  <si>
    <t>EMP1436</t>
  </si>
  <si>
    <t>EMP1437</t>
  </si>
  <si>
    <t>2022-06-22</t>
  </si>
  <si>
    <t>EMP1438</t>
  </si>
  <si>
    <t>2024-12-18</t>
  </si>
  <si>
    <t>EMP1439</t>
  </si>
  <si>
    <t>EMP1440</t>
  </si>
  <si>
    <t>2024-02-16</t>
  </si>
  <si>
    <t>EMP1441</t>
  </si>
  <si>
    <t>2024-01-12</t>
  </si>
  <si>
    <t>EMP1442</t>
  </si>
  <si>
    <t>EMP1443</t>
  </si>
  <si>
    <t>2023-09-06</t>
  </si>
  <si>
    <t>EMP1444</t>
  </si>
  <si>
    <t>EMP1445</t>
  </si>
  <si>
    <t>2022-02-03</t>
  </si>
  <si>
    <t>EMP1446</t>
  </si>
  <si>
    <t>EMP1447</t>
  </si>
  <si>
    <t>2022-01-11</t>
  </si>
  <si>
    <t>EMP1448</t>
  </si>
  <si>
    <t>2023-07-04</t>
  </si>
  <si>
    <t>EMP1449</t>
  </si>
  <si>
    <t>EMP1450</t>
  </si>
  <si>
    <t>2023-03-25</t>
  </si>
  <si>
    <t>EMP1451</t>
  </si>
  <si>
    <t>2021-10-21</t>
  </si>
  <si>
    <t>EMP1452</t>
  </si>
  <si>
    <t>2021-11-26</t>
  </si>
  <si>
    <t>EMP1453</t>
  </si>
  <si>
    <t>2024-02-18</t>
  </si>
  <si>
    <t>EMP1454</t>
  </si>
  <si>
    <t>2024-04-06</t>
  </si>
  <si>
    <t>EMP1455</t>
  </si>
  <si>
    <t>2022-10-15</t>
  </si>
  <si>
    <t>EMP1456</t>
  </si>
  <si>
    <t>2022-02-09</t>
  </si>
  <si>
    <t>EMP1457</t>
  </si>
  <si>
    <t>EMP1458</t>
  </si>
  <si>
    <t>2021-04-01</t>
  </si>
  <si>
    <t>EMP1459</t>
  </si>
  <si>
    <t>2021-01-21</t>
  </si>
  <si>
    <t>EMP1460</t>
  </si>
  <si>
    <t>EMP1461</t>
  </si>
  <si>
    <t>2024-12-10</t>
  </si>
  <si>
    <t>EMP1462</t>
  </si>
  <si>
    <t>EMP1463</t>
  </si>
  <si>
    <t>2023-11-16</t>
  </si>
  <si>
    <t>EMP1464</t>
  </si>
  <si>
    <t>2022-06-16</t>
  </si>
  <si>
    <t>EMP1465</t>
  </si>
  <si>
    <t>2023-07-19</t>
  </si>
  <si>
    <t>EMP1466</t>
  </si>
  <si>
    <t>2022-09-10</t>
  </si>
  <si>
    <t>EMP1467</t>
  </si>
  <si>
    <t>2023-03-12</t>
  </si>
  <si>
    <t>EMP1468</t>
  </si>
  <si>
    <t>2023-05-20</t>
  </si>
  <si>
    <t>EMP1469</t>
  </si>
  <si>
    <t>2024-02-05</t>
  </si>
  <si>
    <t>EMP1470</t>
  </si>
  <si>
    <t>2023-03-20</t>
  </si>
  <si>
    <t>EMP1471</t>
  </si>
  <si>
    <t>EMP1472</t>
  </si>
  <si>
    <t>EMP1473</t>
  </si>
  <si>
    <t>EMP1474</t>
  </si>
  <si>
    <t>2024-01-19</t>
  </si>
  <si>
    <t>EMP1475</t>
  </si>
  <si>
    <t>2024-09-03</t>
  </si>
  <si>
    <t>EMP1476</t>
  </si>
  <si>
    <t>2023-03-23</t>
  </si>
  <si>
    <t>EMP1477</t>
  </si>
  <si>
    <t>2024-07-03</t>
  </si>
  <si>
    <t>EMP1478</t>
  </si>
  <si>
    <t>2023-04-07</t>
  </si>
  <si>
    <t>EMP1479</t>
  </si>
  <si>
    <t>2024-04-27</t>
  </si>
  <si>
    <t>EMP1480</t>
  </si>
  <si>
    <t>2021-10-18</t>
  </si>
  <si>
    <t>EMP1481</t>
  </si>
  <si>
    <t>2021-10-16</t>
  </si>
  <si>
    <t>EMP1482</t>
  </si>
  <si>
    <t>2021-09-16</t>
  </si>
  <si>
    <t>EMP1483</t>
  </si>
  <si>
    <t>2024-01-13</t>
  </si>
  <si>
    <t>EMP1484</t>
  </si>
  <si>
    <t>EMP1485</t>
  </si>
  <si>
    <t>2024-12-24</t>
  </si>
  <si>
    <t>EMP1486</t>
  </si>
  <si>
    <t>EMP1487</t>
  </si>
  <si>
    <t>EMP1488</t>
  </si>
  <si>
    <t>2023-05-26</t>
  </si>
  <si>
    <t>EMP1489</t>
  </si>
  <si>
    <t>2023-03-13</t>
  </si>
  <si>
    <t>EMP1490</t>
  </si>
  <si>
    <t>EMP1491</t>
  </si>
  <si>
    <t>2023-05-09</t>
  </si>
  <si>
    <t>EMP1492</t>
  </si>
  <si>
    <t>2023-01-22</t>
  </si>
  <si>
    <t>EMP1493</t>
  </si>
  <si>
    <t>2023-06-14</t>
  </si>
  <si>
    <t>EMP1494</t>
  </si>
  <si>
    <t>2021-11-24</t>
  </si>
  <si>
    <t>EMP1495</t>
  </si>
  <si>
    <t>EMP1496</t>
  </si>
  <si>
    <t>EMP1497</t>
  </si>
  <si>
    <t>EMP1498</t>
  </si>
  <si>
    <t>2022-09-28</t>
  </si>
  <si>
    <t>EMP1499</t>
  </si>
  <si>
    <t>EMP1500</t>
  </si>
  <si>
    <t>2023-02-08</t>
  </si>
  <si>
    <t>EMP1501</t>
  </si>
  <si>
    <t>2023-02-12</t>
  </si>
  <si>
    <t>EMP1502</t>
  </si>
  <si>
    <t>2022-01-20</t>
  </si>
  <si>
    <t>EMP1503</t>
  </si>
  <si>
    <t>2021-08-14</t>
  </si>
  <si>
    <t>EMP1504</t>
  </si>
  <si>
    <t>2021-12-23</t>
  </si>
  <si>
    <t>EMP1505</t>
  </si>
  <si>
    <t>2022-12-16</t>
  </si>
  <si>
    <t>EMP1506</t>
  </si>
  <si>
    <t>2023-08-17</t>
  </si>
  <si>
    <t>EMP1507</t>
  </si>
  <si>
    <t>2022-08-11</t>
  </si>
  <si>
    <t>EMP1508</t>
  </si>
  <si>
    <t>EMP1509</t>
  </si>
  <si>
    <t>EMP1510</t>
  </si>
  <si>
    <t>2022-05-26</t>
  </si>
  <si>
    <t>EMP1511</t>
  </si>
  <si>
    <t>EMP1512</t>
  </si>
  <si>
    <t>EMP1513</t>
  </si>
  <si>
    <t>2022-07-01</t>
  </si>
  <si>
    <t>EMP1514</t>
  </si>
  <si>
    <t>2021-09-06</t>
  </si>
  <si>
    <t>EMP1515</t>
  </si>
  <si>
    <t>2024-01-09</t>
  </si>
  <si>
    <t>EMP1516</t>
  </si>
  <si>
    <t>2021-03-07</t>
  </si>
  <si>
    <t>EMP1517</t>
  </si>
  <si>
    <t>2023-10-21</t>
  </si>
  <si>
    <t>EMP1518</t>
  </si>
  <si>
    <t>EMP1519</t>
  </si>
  <si>
    <t>EMP1520</t>
  </si>
  <si>
    <t>2024-06-19</t>
  </si>
  <si>
    <t>EMP1521</t>
  </si>
  <si>
    <t>2021-03-17</t>
  </si>
  <si>
    <t>EMP1522</t>
  </si>
  <si>
    <t>2023-12-05</t>
  </si>
  <si>
    <t>EMP1523</t>
  </si>
  <si>
    <t>EMP1524</t>
  </si>
  <si>
    <t>EMP1525</t>
  </si>
  <si>
    <t>2024-11-23</t>
  </si>
  <si>
    <t>EMP1526</t>
  </si>
  <si>
    <t>EMP1527</t>
  </si>
  <si>
    <t>EMP1528</t>
  </si>
  <si>
    <t>2023-03-09</t>
  </si>
  <si>
    <t>EMP1529</t>
  </si>
  <si>
    <t>2022-01-27</t>
  </si>
  <si>
    <t>EMP1530</t>
  </si>
  <si>
    <t>EMP1531</t>
  </si>
  <si>
    <t>EMP1532</t>
  </si>
  <si>
    <t>2021-04-25</t>
  </si>
  <si>
    <t>EMP1533</t>
  </si>
  <si>
    <t>2021-05-26</t>
  </si>
  <si>
    <t>EMP1534</t>
  </si>
  <si>
    <t>2023-01-16</t>
  </si>
  <si>
    <t>EMP1535</t>
  </si>
  <si>
    <t>2024-10-13</t>
  </si>
  <si>
    <t>EMP1536</t>
  </si>
  <si>
    <t>2022-08-07</t>
  </si>
  <si>
    <t>EMP1537</t>
  </si>
  <si>
    <t>2021-11-28</t>
  </si>
  <si>
    <t>EMP1538</t>
  </si>
  <si>
    <t>2024-09-12</t>
  </si>
  <si>
    <t>EMP1539</t>
  </si>
  <si>
    <t>2021-02-28</t>
  </si>
  <si>
    <t>EMP1540</t>
  </si>
  <si>
    <t>2021-06-24</t>
  </si>
  <si>
    <t>EMP1541</t>
  </si>
  <si>
    <t>2021-03-20</t>
  </si>
  <si>
    <t>EMP1542</t>
  </si>
  <si>
    <t>2022-12-26</t>
  </si>
  <si>
    <t>EMP1543</t>
  </si>
  <si>
    <t>EMP1544</t>
  </si>
  <si>
    <t>2023-06-12</t>
  </si>
  <si>
    <t>EMP1545</t>
  </si>
  <si>
    <t>2023-05-25</t>
  </si>
  <si>
    <t>EMP1546</t>
  </si>
  <si>
    <t>2024-10-28</t>
  </si>
  <si>
    <t>EMP1547</t>
  </si>
  <si>
    <t>2021-11-22</t>
  </si>
  <si>
    <t>EMP1548</t>
  </si>
  <si>
    <t>EMP1549</t>
  </si>
  <si>
    <t>2024-09-17</t>
  </si>
  <si>
    <t>EMP1550</t>
  </si>
  <si>
    <t>2022-03-15</t>
  </si>
  <si>
    <t>EMP1551</t>
  </si>
  <si>
    <t>2021-12-25</t>
  </si>
  <si>
    <t>EMP1552</t>
  </si>
  <si>
    <t>EMP1553</t>
  </si>
  <si>
    <t>2024-12-09</t>
  </si>
  <si>
    <t>EMP1554</t>
  </si>
  <si>
    <t>EMP1555</t>
  </si>
  <si>
    <t>2023-09-12</t>
  </si>
  <si>
    <t>EMP1556</t>
  </si>
  <si>
    <t>2024-10-21</t>
  </si>
  <si>
    <t>EMP1557</t>
  </si>
  <si>
    <t>2023-12-06</t>
  </si>
  <si>
    <t>EMP1558</t>
  </si>
  <si>
    <t>2024-08-04</t>
  </si>
  <si>
    <t>EMP1559</t>
  </si>
  <si>
    <t>2024-11-07</t>
  </si>
  <si>
    <t>EMP1560</t>
  </si>
  <si>
    <t>2023-11-15</t>
  </si>
  <si>
    <t>EMP1561</t>
  </si>
  <si>
    <t>2022-04-10</t>
  </si>
  <si>
    <t>EMP1562</t>
  </si>
  <si>
    <t>EMP1563</t>
  </si>
  <si>
    <t>EMP1564</t>
  </si>
  <si>
    <t>2022-03-11</t>
  </si>
  <si>
    <t>EMP1565</t>
  </si>
  <si>
    <t>2023-02-16</t>
  </si>
  <si>
    <t>EMP1566</t>
  </si>
  <si>
    <t>EMP1567</t>
  </si>
  <si>
    <t>EMP1568</t>
  </si>
  <si>
    <t>EMP1569</t>
  </si>
  <si>
    <t>EMP1570</t>
  </si>
  <si>
    <t>2022-04-25</t>
  </si>
  <si>
    <t>EMP1571</t>
  </si>
  <si>
    <t>EMP1572</t>
  </si>
  <si>
    <t>EMP1573</t>
  </si>
  <si>
    <t>EMP1574</t>
  </si>
  <si>
    <t>EMP1575</t>
  </si>
  <si>
    <t>EMP1576</t>
  </si>
  <si>
    <t>2024-01-18</t>
  </si>
  <si>
    <t>EMP1577</t>
  </si>
  <si>
    <t>2023-03-11</t>
  </si>
  <si>
    <t>EMP1578</t>
  </si>
  <si>
    <t>EMP1579</t>
  </si>
  <si>
    <t>2021-12-26</t>
  </si>
  <si>
    <t>EMP1580</t>
  </si>
  <si>
    <t>2023-09-15</t>
  </si>
  <si>
    <t>EMP1581</t>
  </si>
  <si>
    <t>EMP1582</t>
  </si>
  <si>
    <t>2021-04-24</t>
  </si>
  <si>
    <t>EMP1583</t>
  </si>
  <si>
    <t>EMP1584</t>
  </si>
  <si>
    <t>2021-01-25</t>
  </si>
  <si>
    <t>EMP1585</t>
  </si>
  <si>
    <t>2024-02-24</t>
  </si>
  <si>
    <t>EMP1586</t>
  </si>
  <si>
    <t>2024-03-03</t>
  </si>
  <si>
    <t>EMP1587</t>
  </si>
  <si>
    <t>2024-12-14</t>
  </si>
  <si>
    <t>EMP1588</t>
  </si>
  <si>
    <t>2024-11-09</t>
  </si>
  <si>
    <t>EMP1589</t>
  </si>
  <si>
    <t>2024-07-23</t>
  </si>
  <si>
    <t>EMP1590</t>
  </si>
  <si>
    <t>2023-07-26</t>
  </si>
  <si>
    <t>EMP1591</t>
  </si>
  <si>
    <t>2022-08-28</t>
  </si>
  <si>
    <t>EMP1592</t>
  </si>
  <si>
    <t>EMP1593</t>
  </si>
  <si>
    <t>2024-05-05</t>
  </si>
  <si>
    <t>EMP1594</t>
  </si>
  <si>
    <t>2021-08-08</t>
  </si>
  <si>
    <t>EMP1595</t>
  </si>
  <si>
    <t>2024-11-19</t>
  </si>
  <si>
    <t>EMP1596</t>
  </si>
  <si>
    <t>2024-09-11</t>
  </si>
  <si>
    <t>EMP1597</t>
  </si>
  <si>
    <t>2024-09-21</t>
  </si>
  <si>
    <t>EMP1598</t>
  </si>
  <si>
    <t>2023-06-08</t>
  </si>
  <si>
    <t>EMP1599</t>
  </si>
  <si>
    <t>2022-04-20</t>
  </si>
  <si>
    <t>EMP1600</t>
  </si>
  <si>
    <t>2024-05-16</t>
  </si>
  <si>
    <t>EMP1601</t>
  </si>
  <si>
    <t>2021-01-11</t>
  </si>
  <si>
    <t>EMP1602</t>
  </si>
  <si>
    <t>2022-09-05</t>
  </si>
  <si>
    <t>EMP1603</t>
  </si>
  <si>
    <t>2023-08-22</t>
  </si>
  <si>
    <t>EMP1604</t>
  </si>
  <si>
    <t>2021-09-03</t>
  </si>
  <si>
    <t>EMP1605</t>
  </si>
  <si>
    <t>2023-09-16</t>
  </si>
  <si>
    <t>EMP1606</t>
  </si>
  <si>
    <t>2021-05-13</t>
  </si>
  <si>
    <t>EMP1607</t>
  </si>
  <si>
    <t>EMP1608</t>
  </si>
  <si>
    <t>EMP1609</t>
  </si>
  <si>
    <t>2024-05-20</t>
  </si>
  <si>
    <t>EMP1610</t>
  </si>
  <si>
    <t>EMP1611</t>
  </si>
  <si>
    <t>2021-04-14</t>
  </si>
  <si>
    <t>EMP1612</t>
  </si>
  <si>
    <t>2022-06-15</t>
  </si>
  <si>
    <t>EMP1613</t>
  </si>
  <si>
    <t>EMP1614</t>
  </si>
  <si>
    <t>EMP1615</t>
  </si>
  <si>
    <t>2022-08-18</t>
  </si>
  <si>
    <t>EMP1616</t>
  </si>
  <si>
    <t>2022-07-05</t>
  </si>
  <si>
    <t>EMP1617</t>
  </si>
  <si>
    <t>EMP1618</t>
  </si>
  <si>
    <t>EMP1619</t>
  </si>
  <si>
    <t>EMP1620</t>
  </si>
  <si>
    <t>2021-06-20</t>
  </si>
  <si>
    <t>EMP1621</t>
  </si>
  <si>
    <t>2022-02-22</t>
  </si>
  <si>
    <t>EMP1622</t>
  </si>
  <si>
    <t>EMP1623</t>
  </si>
  <si>
    <t>2021-10-19</t>
  </si>
  <si>
    <t>EMP1624</t>
  </si>
  <si>
    <t>2024-11-03</t>
  </si>
  <si>
    <t>EMP1625</t>
  </si>
  <si>
    <t>EMP1626</t>
  </si>
  <si>
    <t>2022-10-26</t>
  </si>
  <si>
    <t>EMP1627</t>
  </si>
  <si>
    <t>2021-03-03</t>
  </si>
  <si>
    <t>EMP1628</t>
  </si>
  <si>
    <t>EMP1629</t>
  </si>
  <si>
    <t>2023-04-14</t>
  </si>
  <si>
    <t>EMP1630</t>
  </si>
  <si>
    <t>2024-01-24</t>
  </si>
  <si>
    <t>EMP1631</t>
  </si>
  <si>
    <t>EMP1632</t>
  </si>
  <si>
    <t>2022-07-12</t>
  </si>
  <si>
    <t>EMP1633</t>
  </si>
  <si>
    <t>EMP1634</t>
  </si>
  <si>
    <t>2022-06-21</t>
  </si>
  <si>
    <t>EMP1635</t>
  </si>
  <si>
    <t>EMP1636</t>
  </si>
  <si>
    <t>EMP1637</t>
  </si>
  <si>
    <t>EMP1638</t>
  </si>
  <si>
    <t>2022-09-26</t>
  </si>
  <si>
    <t>EMP1639</t>
  </si>
  <si>
    <t>EMP1640</t>
  </si>
  <si>
    <t>2021-11-14</t>
  </si>
  <si>
    <t>EMP1641</t>
  </si>
  <si>
    <t>2023-06-11</t>
  </si>
  <si>
    <t>EMP1642</t>
  </si>
  <si>
    <t>2022-04-02</t>
  </si>
  <si>
    <t>EMP1643</t>
  </si>
  <si>
    <t>EMP1644</t>
  </si>
  <si>
    <t>2023-05-18</t>
  </si>
  <si>
    <t>EMP1645</t>
  </si>
  <si>
    <t>EMP1646</t>
  </si>
  <si>
    <t>2022-06-07</t>
  </si>
  <si>
    <t>EMP1647</t>
  </si>
  <si>
    <t>2021-05-15</t>
  </si>
  <si>
    <t>EMP1648</t>
  </si>
  <si>
    <t>2022-02-21</t>
  </si>
  <si>
    <t>EMP1649</t>
  </si>
  <si>
    <t>2021-01-16</t>
  </si>
  <si>
    <t>EMP1650</t>
  </si>
  <si>
    <t>2021-11-02</t>
  </si>
  <si>
    <t>EMP1651</t>
  </si>
  <si>
    <t>2023-12-21</t>
  </si>
  <si>
    <t>EMP1652</t>
  </si>
  <si>
    <t>EMP1653</t>
  </si>
  <si>
    <t>2021-09-18</t>
  </si>
  <si>
    <t>EMP1654</t>
  </si>
  <si>
    <t>2024-12-25</t>
  </si>
  <si>
    <t>EMP1655</t>
  </si>
  <si>
    <t>EMP1656</t>
  </si>
  <si>
    <t>2024-06-07</t>
  </si>
  <si>
    <t>EMP1657</t>
  </si>
  <si>
    <t>EMP1658</t>
  </si>
  <si>
    <t>2024-04-20</t>
  </si>
  <si>
    <t>EMP1659</t>
  </si>
  <si>
    <t>2024-03-15</t>
  </si>
  <si>
    <t>EMP1660</t>
  </si>
  <si>
    <t>2024-04-23</t>
  </si>
  <si>
    <t>EMP1661</t>
  </si>
  <si>
    <t>2024-09-23</t>
  </si>
  <si>
    <t>EMP1662</t>
  </si>
  <si>
    <t>2023-08-03</t>
  </si>
  <si>
    <t>EMP1663</t>
  </si>
  <si>
    <t>2023-04-28</t>
  </si>
  <si>
    <t>EMP1664</t>
  </si>
  <si>
    <t>2022-04-21</t>
  </si>
  <si>
    <t>EMP1665</t>
  </si>
  <si>
    <t>2024-11-28</t>
  </si>
  <si>
    <t>EMP1666</t>
  </si>
  <si>
    <t>2023-05-27</t>
  </si>
  <si>
    <t>EMP1667</t>
  </si>
  <si>
    <t>2021-05-21</t>
  </si>
  <si>
    <t>EMP1668</t>
  </si>
  <si>
    <t>EMP1669</t>
  </si>
  <si>
    <t>2024-06-08</t>
  </si>
  <si>
    <t>EMP1670</t>
  </si>
  <si>
    <t>2023-09-19</t>
  </si>
  <si>
    <t>EMP1671</t>
  </si>
  <si>
    <t>2022-02-24</t>
  </si>
  <si>
    <t>EMP1672</t>
  </si>
  <si>
    <t>EMP1673</t>
  </si>
  <si>
    <t>2023-02-01</t>
  </si>
  <si>
    <t>EMP1674</t>
  </si>
  <si>
    <t>2024-07-26</t>
  </si>
  <si>
    <t>EMP1675</t>
  </si>
  <si>
    <t>EMP1676</t>
  </si>
  <si>
    <t>2024-02-14</t>
  </si>
  <si>
    <t>EMP1677</t>
  </si>
  <si>
    <t>2022-02-20</t>
  </si>
  <si>
    <t>EMP1678</t>
  </si>
  <si>
    <t>2022-05-18</t>
  </si>
  <si>
    <t>EMP1679</t>
  </si>
  <si>
    <t>2022-04-26</t>
  </si>
  <si>
    <t>EMP1680</t>
  </si>
  <si>
    <t>EMP1681</t>
  </si>
  <si>
    <t>2024-05-17</t>
  </si>
  <si>
    <t>EMP1682</t>
  </si>
  <si>
    <t>EMP1683</t>
  </si>
  <si>
    <t>2022-07-02</t>
  </si>
  <si>
    <t>EMP1684</t>
  </si>
  <si>
    <t>EMP1685</t>
  </si>
  <si>
    <t>EMP1686</t>
  </si>
  <si>
    <t>EMP1687</t>
  </si>
  <si>
    <t>EMP1688</t>
  </si>
  <si>
    <t>2023-11-22</t>
  </si>
  <si>
    <t>EMP1689</t>
  </si>
  <si>
    <t>2023-02-27</t>
  </si>
  <si>
    <t>EMP1690</t>
  </si>
  <si>
    <t>EMP1691</t>
  </si>
  <si>
    <t>EMP1692</t>
  </si>
  <si>
    <t>2022-05-27</t>
  </si>
  <si>
    <t>EMP1693</t>
  </si>
  <si>
    <t>2021-10-10</t>
  </si>
  <si>
    <t>EMP1694</t>
  </si>
  <si>
    <t>EMP1695</t>
  </si>
  <si>
    <t>EMP1696</t>
  </si>
  <si>
    <t>2021-01-02</t>
  </si>
  <si>
    <t>EMP1697</t>
  </si>
  <si>
    <t>2023-07-03</t>
  </si>
  <si>
    <t>EMP1698</t>
  </si>
  <si>
    <t>2022-04-05</t>
  </si>
  <si>
    <t>EMP1699</t>
  </si>
  <si>
    <t>EMP1700</t>
  </si>
  <si>
    <t>2024-05-01</t>
  </si>
  <si>
    <t>EMP1701</t>
  </si>
  <si>
    <t>2024-10-07</t>
  </si>
  <si>
    <t>EMP1702</t>
  </si>
  <si>
    <t>2023-03-22</t>
  </si>
  <si>
    <t>EMP1703</t>
  </si>
  <si>
    <t>2023-03-04</t>
  </si>
  <si>
    <t>EMP1704</t>
  </si>
  <si>
    <t>EMP1705</t>
  </si>
  <si>
    <t>EMP1706</t>
  </si>
  <si>
    <t>2021-06-28</t>
  </si>
  <si>
    <t>EMP1707</t>
  </si>
  <si>
    <t>2024-05-02</t>
  </si>
  <si>
    <t>EMP1708</t>
  </si>
  <si>
    <t>EMP1709</t>
  </si>
  <si>
    <t>2021-05-10</t>
  </si>
  <si>
    <t>EMP1710</t>
  </si>
  <si>
    <t>2023-05-24</t>
  </si>
  <si>
    <t>EMP1711</t>
  </si>
  <si>
    <t>EMP1712</t>
  </si>
  <si>
    <t>EMP1713</t>
  </si>
  <si>
    <t>2022-12-09</t>
  </si>
  <si>
    <t>EMP1714</t>
  </si>
  <si>
    <t>2021-12-01</t>
  </si>
  <si>
    <t>EMP1715</t>
  </si>
  <si>
    <t>EMP1716</t>
  </si>
  <si>
    <t>2021-08-26</t>
  </si>
  <si>
    <t>EMP1717</t>
  </si>
  <si>
    <t>2024-04-18</t>
  </si>
  <si>
    <t>EMP1718</t>
  </si>
  <si>
    <t>2022-11-18</t>
  </si>
  <si>
    <t>EMP1719</t>
  </si>
  <si>
    <t>2024-05-23</t>
  </si>
  <si>
    <t>EMP1720</t>
  </si>
  <si>
    <t>2021-02-19</t>
  </si>
  <si>
    <t>EMP1721</t>
  </si>
  <si>
    <t>2021-10-14</t>
  </si>
  <si>
    <t>EMP1722</t>
  </si>
  <si>
    <t>2021-08-27</t>
  </si>
  <si>
    <t>EMP1723</t>
  </si>
  <si>
    <t>2021-11-09</t>
  </si>
  <si>
    <t>EMP1724</t>
  </si>
  <si>
    <t>EMP1725</t>
  </si>
  <si>
    <t>EMP1726</t>
  </si>
  <si>
    <t>2024-05-11</t>
  </si>
  <si>
    <t>EMP1727</t>
  </si>
  <si>
    <t>2022-01-17</t>
  </si>
  <si>
    <t>EMP1728</t>
  </si>
  <si>
    <t>2022-03-02</t>
  </si>
  <si>
    <t>EMP1729</t>
  </si>
  <si>
    <t>EMP1730</t>
  </si>
  <si>
    <t>EMP1731</t>
  </si>
  <si>
    <t>2021-03-06</t>
  </si>
  <si>
    <t>EMP1732</t>
  </si>
  <si>
    <t>2023-09-05</t>
  </si>
  <si>
    <t>EMP1733</t>
  </si>
  <si>
    <t>2022-04-14</t>
  </si>
  <si>
    <t>EMP1734</t>
  </si>
  <si>
    <t>2021-09-17</t>
  </si>
  <si>
    <t>EMP1735</t>
  </si>
  <si>
    <t>2021-03-23</t>
  </si>
  <si>
    <t>EMP1736</t>
  </si>
  <si>
    <t>2023-02-15</t>
  </si>
  <si>
    <t>EMP1737</t>
  </si>
  <si>
    <t>EMP1738</t>
  </si>
  <si>
    <t>2022-08-20</t>
  </si>
  <si>
    <t>EMP1739</t>
  </si>
  <si>
    <t>EMP1740</t>
  </si>
  <si>
    <t>2021-12-03</t>
  </si>
  <si>
    <t>EMP1741</t>
  </si>
  <si>
    <t>EMP1742</t>
  </si>
  <si>
    <t>2022-01-03</t>
  </si>
  <si>
    <t>EMP1743</t>
  </si>
  <si>
    <t>EMP1744</t>
  </si>
  <si>
    <t>2023-04-16</t>
  </si>
  <si>
    <t>EMP1745</t>
  </si>
  <si>
    <t>2021-01-13</t>
  </si>
  <si>
    <t>EMP1746</t>
  </si>
  <si>
    <t>EMP1747</t>
  </si>
  <si>
    <t>2023-10-24</t>
  </si>
  <si>
    <t>EMP1748</t>
  </si>
  <si>
    <t>2023-10-26</t>
  </si>
  <si>
    <t>EMP1749</t>
  </si>
  <si>
    <t>EMP1750</t>
  </si>
  <si>
    <t>2024-10-18</t>
  </si>
  <si>
    <t>EMP1751</t>
  </si>
  <si>
    <t>2023-11-08</t>
  </si>
  <si>
    <t>EMP1752</t>
  </si>
  <si>
    <t>EMP1753</t>
  </si>
  <si>
    <t>EMP1754</t>
  </si>
  <si>
    <t>EMP1755</t>
  </si>
  <si>
    <t>EMP1756</t>
  </si>
  <si>
    <t>EMP1757</t>
  </si>
  <si>
    <t>2022-10-23</t>
  </si>
  <si>
    <t>EMP1758</t>
  </si>
  <si>
    <t>EMP1759</t>
  </si>
  <si>
    <t>EMP1760</t>
  </si>
  <si>
    <t>2021-02-14</t>
  </si>
  <si>
    <t>EMP1761</t>
  </si>
  <si>
    <t>EMP1762</t>
  </si>
  <si>
    <t>EMP1763</t>
  </si>
  <si>
    <t>2024-12-02</t>
  </si>
  <si>
    <t>EMP1764</t>
  </si>
  <si>
    <t>EMP1765</t>
  </si>
  <si>
    <t>EMP1766</t>
  </si>
  <si>
    <t>2022-05-20</t>
  </si>
  <si>
    <t>EMP1767</t>
  </si>
  <si>
    <t>2024-08-07</t>
  </si>
  <si>
    <t>EMP1768</t>
  </si>
  <si>
    <t>2024-09-16</t>
  </si>
  <si>
    <t>EMP1769</t>
  </si>
  <si>
    <t>EMP1770</t>
  </si>
  <si>
    <t>2022-06-27</t>
  </si>
  <si>
    <t>EMP1771</t>
  </si>
  <si>
    <t>EMP1772</t>
  </si>
  <si>
    <t>EMP1773</t>
  </si>
  <si>
    <t>EMP1774</t>
  </si>
  <si>
    <t>2023-04-13</t>
  </si>
  <si>
    <t>EMP1775</t>
  </si>
  <si>
    <t>2023-01-01</t>
  </si>
  <si>
    <t>EMP1776</t>
  </si>
  <si>
    <t>EMP1777</t>
  </si>
  <si>
    <t>2024-08-18</t>
  </si>
  <si>
    <t>EMP1778</t>
  </si>
  <si>
    <t>2023-03-17</t>
  </si>
  <si>
    <t>EMP1779</t>
  </si>
  <si>
    <t>EMP1780</t>
  </si>
  <si>
    <t>2024-07-19</t>
  </si>
  <si>
    <t>EMP1781</t>
  </si>
  <si>
    <t>EMP1782</t>
  </si>
  <si>
    <t>EMP1783</t>
  </si>
  <si>
    <t>2023-08-05</t>
  </si>
  <si>
    <t>EMP1784</t>
  </si>
  <si>
    <t>2024-02-21</t>
  </si>
  <si>
    <t>EMP1785</t>
  </si>
  <si>
    <t>2022-12-14</t>
  </si>
  <si>
    <t>EMP1786</t>
  </si>
  <si>
    <t>EMP1787</t>
  </si>
  <si>
    <t>2024-02-06</t>
  </si>
  <si>
    <t>EMP1788</t>
  </si>
  <si>
    <t>2021-03-26</t>
  </si>
  <si>
    <t>EMP1789</t>
  </si>
  <si>
    <t>2023-11-17</t>
  </si>
  <si>
    <t>EMP1790</t>
  </si>
  <si>
    <t>EMP1791</t>
  </si>
  <si>
    <t>EMP1792</t>
  </si>
  <si>
    <t>EMP1793</t>
  </si>
  <si>
    <t>2022-01-10</t>
  </si>
  <si>
    <t>EMP1794</t>
  </si>
  <si>
    <t>2024-11-17</t>
  </si>
  <si>
    <t>EMP1795</t>
  </si>
  <si>
    <t>EMP1796</t>
  </si>
  <si>
    <t>2022-04-28</t>
  </si>
  <si>
    <t>EMP1797</t>
  </si>
  <si>
    <t>2021-07-14</t>
  </si>
  <si>
    <t>EMP1798</t>
  </si>
  <si>
    <t>EMP1799</t>
  </si>
  <si>
    <t>EMP1800</t>
  </si>
  <si>
    <t>EMP1801</t>
  </si>
  <si>
    <t>2021-08-23</t>
  </si>
  <si>
    <t>EMP1802</t>
  </si>
  <si>
    <t>2023-09-28</t>
  </si>
  <si>
    <t>EMP1803</t>
  </si>
  <si>
    <t>EMP1804</t>
  </si>
  <si>
    <t>EMP1805</t>
  </si>
  <si>
    <t>EMP1806</t>
  </si>
  <si>
    <t>EMP1807</t>
  </si>
  <si>
    <t>2021-02-23</t>
  </si>
  <si>
    <t>EMP1808</t>
  </si>
  <si>
    <t>EMP1809</t>
  </si>
  <si>
    <t>EMP1810</t>
  </si>
  <si>
    <t>2024-06-16</t>
  </si>
  <si>
    <t>EMP1811</t>
  </si>
  <si>
    <t>EMP1812</t>
  </si>
  <si>
    <t>2022-03-16</t>
  </si>
  <si>
    <t>EMP1813</t>
  </si>
  <si>
    <t>EMP1814</t>
  </si>
  <si>
    <t>EMP1815</t>
  </si>
  <si>
    <t>EMP1816</t>
  </si>
  <si>
    <t>EMP1817</t>
  </si>
  <si>
    <t>2023-11-02</t>
  </si>
  <si>
    <t>EMP1818</t>
  </si>
  <si>
    <t>2021-07-15</t>
  </si>
  <si>
    <t>EMP1819</t>
  </si>
  <si>
    <t>2022-12-19</t>
  </si>
  <si>
    <t>EMP1820</t>
  </si>
  <si>
    <t>2021-11-25</t>
  </si>
  <si>
    <t>EMP1821</t>
  </si>
  <si>
    <t>2024-12-21</t>
  </si>
  <si>
    <t>EMP1822</t>
  </si>
  <si>
    <t>EMP1823</t>
  </si>
  <si>
    <t>EMP1824</t>
  </si>
  <si>
    <t>2024-11-11</t>
  </si>
  <si>
    <t>EMP1825</t>
  </si>
  <si>
    <t>2021-07-01</t>
  </si>
  <si>
    <t>EMP1826</t>
  </si>
  <si>
    <t>EMP1827</t>
  </si>
  <si>
    <t>EMP1828</t>
  </si>
  <si>
    <t>EMP1829</t>
  </si>
  <si>
    <t>EMP1830</t>
  </si>
  <si>
    <t>EMP1831</t>
  </si>
  <si>
    <t>EMP1832</t>
  </si>
  <si>
    <t>EMP1833</t>
  </si>
  <si>
    <t>EMP1834</t>
  </si>
  <si>
    <t>2021-05-11</t>
  </si>
  <si>
    <t>EMP1835</t>
  </si>
  <si>
    <t>EMP1836</t>
  </si>
  <si>
    <t>2021-12-19</t>
  </si>
  <si>
    <t>EMP1837</t>
  </si>
  <si>
    <t>2024-12-13</t>
  </si>
  <si>
    <t>EMP1838</t>
  </si>
  <si>
    <t>2024-05-14</t>
  </si>
  <si>
    <t>EMP1839</t>
  </si>
  <si>
    <t>2023-06-24</t>
  </si>
  <si>
    <t>EMP1840</t>
  </si>
  <si>
    <t>EMP1841</t>
  </si>
  <si>
    <t>EMP1842</t>
  </si>
  <si>
    <t>2021-06-26</t>
  </si>
  <si>
    <t>EMP1843</t>
  </si>
  <si>
    <t>EMP1844</t>
  </si>
  <si>
    <t>2022-08-10</t>
  </si>
  <si>
    <t>EMP1845</t>
  </si>
  <si>
    <t>2021-08-02</t>
  </si>
  <si>
    <t>EMP1846</t>
  </si>
  <si>
    <t>2024-01-23</t>
  </si>
  <si>
    <t>EMP1847</t>
  </si>
  <si>
    <t>2023-12-26</t>
  </si>
  <si>
    <t>EMP1848</t>
  </si>
  <si>
    <t>2023-09-21</t>
  </si>
  <si>
    <t>EMP1849</t>
  </si>
  <si>
    <t>2024-01-27</t>
  </si>
  <si>
    <t>EMP1850</t>
  </si>
  <si>
    <t>EMP1851</t>
  </si>
  <si>
    <t>2023-09-03</t>
  </si>
  <si>
    <t>EMP1852</t>
  </si>
  <si>
    <t>2022-06-28</t>
  </si>
  <si>
    <t>EMP1853</t>
  </si>
  <si>
    <t>2022-07-26</t>
  </si>
  <si>
    <t>EMP1854</t>
  </si>
  <si>
    <t>EMP1855</t>
  </si>
  <si>
    <t>EMP1856</t>
  </si>
  <si>
    <t>EMP1857</t>
  </si>
  <si>
    <t>2023-01-15</t>
  </si>
  <si>
    <t>EMP1858</t>
  </si>
  <si>
    <t>EMP1859</t>
  </si>
  <si>
    <t>2021-04-21</t>
  </si>
  <si>
    <t>EMP1860</t>
  </si>
  <si>
    <t>EMP1861</t>
  </si>
  <si>
    <t>EMP1862</t>
  </si>
  <si>
    <t>2021-08-18</t>
  </si>
  <si>
    <t>EMP1863</t>
  </si>
  <si>
    <t>2021-06-08</t>
  </si>
  <si>
    <t>EMP1864</t>
  </si>
  <si>
    <t>EMP1865</t>
  </si>
  <si>
    <t>2022-01-23</t>
  </si>
  <si>
    <t>EMP1866</t>
  </si>
  <si>
    <t>EMP1867</t>
  </si>
  <si>
    <t>EMP1868</t>
  </si>
  <si>
    <t>EMP1869</t>
  </si>
  <si>
    <t>2022-01-02</t>
  </si>
  <si>
    <t>EMP1870</t>
  </si>
  <si>
    <t>EMP1871</t>
  </si>
  <si>
    <t>2022-12-04</t>
  </si>
  <si>
    <t>EMP1872</t>
  </si>
  <si>
    <t>2024-08-15</t>
  </si>
  <si>
    <t>EMP1873</t>
  </si>
  <si>
    <t>2022-02-26</t>
  </si>
  <si>
    <t>EMP1874</t>
  </si>
  <si>
    <t>2023-07-27</t>
  </si>
  <si>
    <t>EMP1875</t>
  </si>
  <si>
    <t>2024-07-07</t>
  </si>
  <si>
    <t>EMP1876</t>
  </si>
  <si>
    <t>2022-07-22</t>
  </si>
  <si>
    <t>EMP1877</t>
  </si>
  <si>
    <t>2022-11-08</t>
  </si>
  <si>
    <t>EMP1878</t>
  </si>
  <si>
    <t>EMP1879</t>
  </si>
  <si>
    <t>EMP1880</t>
  </si>
  <si>
    <t>EMP1881</t>
  </si>
  <si>
    <t>2022-01-15</t>
  </si>
  <si>
    <t>EMP1882</t>
  </si>
  <si>
    <t>2023-05-07</t>
  </si>
  <si>
    <t>EMP1883</t>
  </si>
  <si>
    <t>2023-12-18</t>
  </si>
  <si>
    <t>EMP1884</t>
  </si>
  <si>
    <t>EMP1885</t>
  </si>
  <si>
    <t>2021-11-27</t>
  </si>
  <si>
    <t>EMP1886</t>
  </si>
  <si>
    <t>EMP1887</t>
  </si>
  <si>
    <t>EMP1888</t>
  </si>
  <si>
    <t>EMP1889</t>
  </si>
  <si>
    <t>EMP1890</t>
  </si>
  <si>
    <t>2021-06-21</t>
  </si>
  <si>
    <t>EMP1891</t>
  </si>
  <si>
    <t>EMP1892</t>
  </si>
  <si>
    <t>2022-03-24</t>
  </si>
  <si>
    <t>EMP1893</t>
  </si>
  <si>
    <t>2024-05-04</t>
  </si>
  <si>
    <t>EMP1894</t>
  </si>
  <si>
    <t>2023-11-13</t>
  </si>
  <si>
    <t>EMP1895</t>
  </si>
  <si>
    <t>EMP1896</t>
  </si>
  <si>
    <t>EMP1897</t>
  </si>
  <si>
    <t>2024-07-02</t>
  </si>
  <si>
    <t>EMP1898</t>
  </si>
  <si>
    <t>2022-11-07</t>
  </si>
  <si>
    <t>EMP1899</t>
  </si>
  <si>
    <t>2023-01-25</t>
  </si>
  <si>
    <t>EMP1900</t>
  </si>
  <si>
    <t>2024-07-10</t>
  </si>
  <si>
    <t>EMP1901</t>
  </si>
  <si>
    <t>2024-04-02</t>
  </si>
  <si>
    <t>EMP1902</t>
  </si>
  <si>
    <t>2023-10-15</t>
  </si>
  <si>
    <t>EMP1903</t>
  </si>
  <si>
    <t>2023-07-22</t>
  </si>
  <si>
    <t>EMP1904</t>
  </si>
  <si>
    <t>EMP1905</t>
  </si>
  <si>
    <t>EMP1906</t>
  </si>
  <si>
    <t>2023-04-10</t>
  </si>
  <si>
    <t>EMP1907</t>
  </si>
  <si>
    <t>2022-12-28</t>
  </si>
  <si>
    <t>EMP1908</t>
  </si>
  <si>
    <t>2021-10-20</t>
  </si>
  <si>
    <t>EMP1909</t>
  </si>
  <si>
    <t>2024-03-22</t>
  </si>
  <si>
    <t>EMP1910</t>
  </si>
  <si>
    <t>2021-01-18</t>
  </si>
  <si>
    <t>EMP1911</t>
  </si>
  <si>
    <t>2023-01-05</t>
  </si>
  <si>
    <t>EMP1912</t>
  </si>
  <si>
    <t>EMP1913</t>
  </si>
  <si>
    <t>EMP1914</t>
  </si>
  <si>
    <t>2021-04-09</t>
  </si>
  <si>
    <t>EMP1915</t>
  </si>
  <si>
    <t>EMP1916</t>
  </si>
  <si>
    <t>2024-03-26</t>
  </si>
  <si>
    <t>EMP1917</t>
  </si>
  <si>
    <t>EMP1918</t>
  </si>
  <si>
    <t>EMP1919</t>
  </si>
  <si>
    <t>EMP1920</t>
  </si>
  <si>
    <t>2021-12-18</t>
  </si>
  <si>
    <t>EMP1921</t>
  </si>
  <si>
    <t>2023-10-22</t>
  </si>
  <si>
    <t>EMP1922</t>
  </si>
  <si>
    <t>2023-07-08</t>
  </si>
  <si>
    <t>EMP1923</t>
  </si>
  <si>
    <t>EMP1924</t>
  </si>
  <si>
    <t>2022-11-14</t>
  </si>
  <si>
    <t>EMP1925</t>
  </si>
  <si>
    <t>EMP1926</t>
  </si>
  <si>
    <t>EMP1927</t>
  </si>
  <si>
    <t>EMP1928</t>
  </si>
  <si>
    <t>EMP1929</t>
  </si>
  <si>
    <t>EMP1930</t>
  </si>
  <si>
    <t>2023-04-24</t>
  </si>
  <si>
    <t>EMP1931</t>
  </si>
  <si>
    <t>2024-10-06</t>
  </si>
  <si>
    <t>EMP1932</t>
  </si>
  <si>
    <t>EMP1933</t>
  </si>
  <si>
    <t>EMP1934</t>
  </si>
  <si>
    <t>2021-07-16</t>
  </si>
  <si>
    <t>EMP1935</t>
  </si>
  <si>
    <t>EMP1936</t>
  </si>
  <si>
    <t>EMP1937</t>
  </si>
  <si>
    <t>2021-08-09</t>
  </si>
  <si>
    <t>EMP1938</t>
  </si>
  <si>
    <t>EMP1939</t>
  </si>
  <si>
    <t>2021-07-10</t>
  </si>
  <si>
    <t>EMP1940</t>
  </si>
  <si>
    <t>EMP1941</t>
  </si>
  <si>
    <t>EMP1942</t>
  </si>
  <si>
    <t>2024-02-19</t>
  </si>
  <si>
    <t>EMP1943</t>
  </si>
  <si>
    <t>2024-12-01</t>
  </si>
  <si>
    <t>EMP1944</t>
  </si>
  <si>
    <t>EMP1945</t>
  </si>
  <si>
    <t>2024-03-06</t>
  </si>
  <si>
    <t>EMP1946</t>
  </si>
  <si>
    <t>2022-10-14</t>
  </si>
  <si>
    <t>EMP1947</t>
  </si>
  <si>
    <t>2022-11-06</t>
  </si>
  <si>
    <t>EMP1948</t>
  </si>
  <si>
    <t>2023-09-11</t>
  </si>
  <si>
    <t>EMP1949</t>
  </si>
  <si>
    <t>2021-09-28</t>
  </si>
  <si>
    <t>EMP1950</t>
  </si>
  <si>
    <t>EMP1951</t>
  </si>
  <si>
    <t>EMP1952</t>
  </si>
  <si>
    <t>2024-03-11</t>
  </si>
  <si>
    <t>EMP1953</t>
  </si>
  <si>
    <t>EMP1954</t>
  </si>
  <si>
    <t>EMP1955</t>
  </si>
  <si>
    <t>2023-03-21</t>
  </si>
  <si>
    <t>EMP1956</t>
  </si>
  <si>
    <t>EMP1957</t>
  </si>
  <si>
    <t>2023-10-17</t>
  </si>
  <si>
    <t>EMP1958</t>
  </si>
  <si>
    <t>2023-07-28</t>
  </si>
  <si>
    <t>EMP1959</t>
  </si>
  <si>
    <t>2021-06-11</t>
  </si>
  <si>
    <t>EMP1960</t>
  </si>
  <si>
    <t>2022-03-22</t>
  </si>
  <si>
    <t>EMP1961</t>
  </si>
  <si>
    <t>EMP1962</t>
  </si>
  <si>
    <t>EMP1963</t>
  </si>
  <si>
    <t>EMP1964</t>
  </si>
  <si>
    <t>2021-11-05</t>
  </si>
  <si>
    <t>EMP1965</t>
  </si>
  <si>
    <t>2021-12-22</t>
  </si>
  <si>
    <t>EMP1966</t>
  </si>
  <si>
    <t>EMP1967</t>
  </si>
  <si>
    <t>EMP1968</t>
  </si>
  <si>
    <t>2023-02-28</t>
  </si>
  <si>
    <t>EMP1969</t>
  </si>
  <si>
    <t>EMP1970</t>
  </si>
  <si>
    <t>EMP1971</t>
  </si>
  <si>
    <t>2022-04-03</t>
  </si>
  <si>
    <t>EMP1972</t>
  </si>
  <si>
    <t>2021-01-20</t>
  </si>
  <si>
    <t>EMP1973</t>
  </si>
  <si>
    <t>2024-05-26</t>
  </si>
  <si>
    <t>EMP1974</t>
  </si>
  <si>
    <t>EMP1975</t>
  </si>
  <si>
    <t>EMP1976</t>
  </si>
  <si>
    <t>EMP1977</t>
  </si>
  <si>
    <t>EMP1978</t>
  </si>
  <si>
    <t>EMP1979</t>
  </si>
  <si>
    <t>2023-06-04</t>
  </si>
  <si>
    <t>EMP1980</t>
  </si>
  <si>
    <t>EMP1981</t>
  </si>
  <si>
    <t>EMP1982</t>
  </si>
  <si>
    <t>2022-02-14</t>
  </si>
  <si>
    <t>EMP1983</t>
  </si>
  <si>
    <t>2023-08-02</t>
  </si>
  <si>
    <t>EMP1984</t>
  </si>
  <si>
    <t>2023-01-07</t>
  </si>
  <si>
    <t>EMP1985</t>
  </si>
  <si>
    <t>EMP1986</t>
  </si>
  <si>
    <t>EMP1987</t>
  </si>
  <si>
    <t>2021-02-17</t>
  </si>
  <si>
    <t>EMP1988</t>
  </si>
  <si>
    <t>2022-05-14</t>
  </si>
  <si>
    <t>EMP1989</t>
  </si>
  <si>
    <t>EMP1990</t>
  </si>
  <si>
    <t>2023-12-11</t>
  </si>
  <si>
    <t>EMP1991</t>
  </si>
  <si>
    <t>2023-02-18</t>
  </si>
  <si>
    <t>EMP1992</t>
  </si>
  <si>
    <t>EMP1993</t>
  </si>
  <si>
    <t>EMP1994</t>
  </si>
  <si>
    <t>EMP1995</t>
  </si>
  <si>
    <t>EMP1996</t>
  </si>
  <si>
    <t>EMP1997</t>
  </si>
  <si>
    <t>EMP1998</t>
  </si>
  <si>
    <t>EMP1999</t>
  </si>
  <si>
    <t>EMP2000</t>
  </si>
  <si>
    <t>Headcount</t>
  </si>
  <si>
    <t>Avg Bonus</t>
  </si>
  <si>
    <t>Year</t>
  </si>
  <si>
    <t>DEPARTMENT SUMMARY</t>
  </si>
  <si>
    <t>Average Salary</t>
  </si>
  <si>
    <t>Full_Name</t>
  </si>
  <si>
    <t>Riley Rodriguez</t>
  </si>
  <si>
    <t>Margaret Wilson</t>
  </si>
  <si>
    <t>Robert Lopez</t>
  </si>
  <si>
    <t>Jessica Lopez</t>
  </si>
  <si>
    <t>Mark Brown</t>
  </si>
  <si>
    <t>Sarah Smith</t>
  </si>
  <si>
    <t>Elizabeth Wilson</t>
  </si>
  <si>
    <t>Elizabeth Smith</t>
  </si>
  <si>
    <t>Matthew Martinez</t>
  </si>
  <si>
    <t>Charles Smith</t>
  </si>
  <si>
    <t>Mark Johnson</t>
  </si>
  <si>
    <t>Richard Rodriguez</t>
  </si>
  <si>
    <t>Charles Williams</t>
  </si>
  <si>
    <t>William Gonzalez</t>
  </si>
  <si>
    <t>Mark Jones</t>
  </si>
  <si>
    <t>Christopher Lopez</t>
  </si>
  <si>
    <t>Michael Garcia</t>
  </si>
  <si>
    <t>Mary Miller</t>
  </si>
  <si>
    <t>Richard Williams</t>
  </si>
  <si>
    <t>Sandra Garcia</t>
  </si>
  <si>
    <t>James Anderson</t>
  </si>
  <si>
    <t>Mary Hernandez</t>
  </si>
  <si>
    <t>Joseph Smith</t>
  </si>
  <si>
    <t>Avery Hernandez</t>
  </si>
  <si>
    <t>Elizabeth Jones</t>
  </si>
  <si>
    <t>Elizabeth Johnson</t>
  </si>
  <si>
    <t>Susan Garcia</t>
  </si>
  <si>
    <t>Riley Hernandez</t>
  </si>
  <si>
    <t>Charles Garcia</t>
  </si>
  <si>
    <t>Anthony Gonzalez</t>
  </si>
  <si>
    <t>William Martinez</t>
  </si>
  <si>
    <t>Mary Davis</t>
  </si>
  <si>
    <t>Taylor Gonzalez</t>
  </si>
  <si>
    <t>Jessica Rodriguez</t>
  </si>
  <si>
    <t>Matthew Garcia</t>
  </si>
  <si>
    <t>Charles Lopez</t>
  </si>
  <si>
    <t>Karen Davis</t>
  </si>
  <si>
    <t>Nancy Lopez</t>
  </si>
  <si>
    <t>William Brown</t>
  </si>
  <si>
    <t>Daniel Johnson</t>
  </si>
  <si>
    <t>Patricia Hernandez</t>
  </si>
  <si>
    <t>Anthony Williams</t>
  </si>
  <si>
    <t>Matthew Johnson</t>
  </si>
  <si>
    <t>Robert Davis</t>
  </si>
  <si>
    <t>Thomas Anderson</t>
  </si>
  <si>
    <t>Sarah Lopez</t>
  </si>
  <si>
    <t>Thomas Miller</t>
  </si>
  <si>
    <t>Nancy Brown</t>
  </si>
  <si>
    <t>John Martinez</t>
  </si>
  <si>
    <t>Mark Williams</t>
  </si>
  <si>
    <t>Patricia Rodriguez</t>
  </si>
  <si>
    <t>Nancy Martinez</t>
  </si>
  <si>
    <t>Charles Wilson</t>
  </si>
  <si>
    <t>Daniel Gonzalez</t>
  </si>
  <si>
    <t>Mary Brown</t>
  </si>
  <si>
    <t>Charles Rodriguez</t>
  </si>
  <si>
    <t>Barbara Anderson</t>
  </si>
  <si>
    <t>Susan Miller</t>
  </si>
  <si>
    <t>Jessica Garcia</t>
  </si>
  <si>
    <t>Nancy Anderson</t>
  </si>
  <si>
    <t>Linda Davis</t>
  </si>
  <si>
    <t>Richard Garcia</t>
  </si>
  <si>
    <t>William Wilson</t>
  </si>
  <si>
    <t>Elizabeth Lopez</t>
  </si>
  <si>
    <t>Richard Davis</t>
  </si>
  <si>
    <t>William Smith</t>
  </si>
  <si>
    <t>Charles Anderson</t>
  </si>
  <si>
    <t>David Lopez</t>
  </si>
  <si>
    <t>Margaret Garcia</t>
  </si>
  <si>
    <t>William Williams</t>
  </si>
  <si>
    <t>Lisa Gonzalez</t>
  </si>
  <si>
    <t>Margaret Brown</t>
  </si>
  <si>
    <t>Daniel Garcia</t>
  </si>
  <si>
    <t>Margaret Gonzalez</t>
  </si>
  <si>
    <t>Christopher Gonzalez</t>
  </si>
  <si>
    <t>Christopher Jones</t>
  </si>
  <si>
    <t>Patricia Anderson</t>
  </si>
  <si>
    <t>Thomas Brown</t>
  </si>
  <si>
    <t>Jennifer Gonzalez</t>
  </si>
  <si>
    <t>William Johnson</t>
  </si>
  <si>
    <t>Daniel Hernandez</t>
  </si>
  <si>
    <t>Barbara Lopez</t>
  </si>
  <si>
    <t>David Miller</t>
  </si>
  <si>
    <t>Mark Miller</t>
  </si>
  <si>
    <t>Michael Anderson</t>
  </si>
  <si>
    <t>Michael Johnson</t>
  </si>
  <si>
    <t>John Gonzalez</t>
  </si>
  <si>
    <t>Anthony Wilson</t>
  </si>
  <si>
    <t>Charles Martinez</t>
  </si>
  <si>
    <t>Betty Anderson</t>
  </si>
  <si>
    <t>Daniel Anderson</t>
  </si>
  <si>
    <t>Jennifer Garcia</t>
  </si>
  <si>
    <t>Joseph Lopez</t>
  </si>
  <si>
    <t>Patricia Garcia</t>
  </si>
  <si>
    <t>Michael Miller</t>
  </si>
  <si>
    <t>Anthony Jones</t>
  </si>
  <si>
    <t>Richard Anderson</t>
  </si>
  <si>
    <t>Karen Gonzalez</t>
  </si>
  <si>
    <t>Joseph Anderson</t>
  </si>
  <si>
    <t>Charles Gonzalez</t>
  </si>
  <si>
    <t>John Davis</t>
  </si>
  <si>
    <t>Casey Anderson</t>
  </si>
  <si>
    <t>William Lopez</t>
  </si>
  <si>
    <t>Sarah Johnson</t>
  </si>
  <si>
    <t>James Smith</t>
  </si>
  <si>
    <t>James Hernandez</t>
  </si>
  <si>
    <t>Mark Davis</t>
  </si>
  <si>
    <t>Lisa Wilson</t>
  </si>
  <si>
    <t>Margaret Smith</t>
  </si>
  <si>
    <t>Jennifer Johnson</t>
  </si>
  <si>
    <t>Lisa Davis</t>
  </si>
  <si>
    <t>Joseph Garcia</t>
  </si>
  <si>
    <t>Richard Smith</t>
  </si>
  <si>
    <t>Mark Wilson</t>
  </si>
  <si>
    <t>Susan Wilson</t>
  </si>
  <si>
    <t>Robert Williams</t>
  </si>
  <si>
    <t>Betty Garcia</t>
  </si>
  <si>
    <t>Nancy Gonzalez</t>
  </si>
  <si>
    <t>Matthew Hernandez</t>
  </si>
  <si>
    <t>Jordan Williams</t>
  </si>
  <si>
    <t>Thomas Wilson</t>
  </si>
  <si>
    <t>Richard Miller</t>
  </si>
  <si>
    <t>Anthony Hernandez</t>
  </si>
  <si>
    <t>Sandra Rodriguez</t>
  </si>
  <si>
    <t>Charles Hernandez</t>
  </si>
  <si>
    <t>William Davis</t>
  </si>
  <si>
    <t>Sarah Jones</t>
  </si>
  <si>
    <t>Robert Martinez</t>
  </si>
  <si>
    <t>Sarah Hernandez</t>
  </si>
  <si>
    <t>Jessica Brown</t>
  </si>
  <si>
    <t>Nancy Hernandez</t>
  </si>
  <si>
    <t>Patricia Brown</t>
  </si>
  <si>
    <t>Robert Anderson</t>
  </si>
  <si>
    <t>Charles Jones</t>
  </si>
  <si>
    <t>Lisa Johnson</t>
  </si>
  <si>
    <t>Nancy Wilson</t>
  </si>
  <si>
    <t>Linda Lopez</t>
  </si>
  <si>
    <t>Mark Anderson</t>
  </si>
  <si>
    <t>Barbara Davis</t>
  </si>
  <si>
    <t>Quinn Rodriguez</t>
  </si>
  <si>
    <t>Richard Johnson</t>
  </si>
  <si>
    <t>Karen Miller</t>
  </si>
  <si>
    <t>Jennifer Lopez</t>
  </si>
  <si>
    <t>Daniel Rodriguez</t>
  </si>
  <si>
    <t>Joseph Rodriguez</t>
  </si>
  <si>
    <t>John Miller</t>
  </si>
  <si>
    <t>James Williams</t>
  </si>
  <si>
    <t>Matthew Williams</t>
  </si>
  <si>
    <t>Robert Gonzalez</t>
  </si>
  <si>
    <t>Christopher Williams</t>
  </si>
  <si>
    <t>Sandra Smith</t>
  </si>
  <si>
    <t>Jennifer Williams</t>
  </si>
  <si>
    <t>Margaret Johnson</t>
  </si>
  <si>
    <t>Sarah Miller</t>
  </si>
  <si>
    <t>Sarah Martinez</t>
  </si>
  <si>
    <t>Mary Lopez</t>
  </si>
  <si>
    <t>Barbara Smith</t>
  </si>
  <si>
    <t>Barbara Johnson</t>
  </si>
  <si>
    <t>Karen Lopez</t>
  </si>
  <si>
    <t>Mary Jones</t>
  </si>
  <si>
    <t>Mary Garcia</t>
  </si>
  <si>
    <t>Patricia Lopez</t>
  </si>
  <si>
    <t>Jessica Davis</t>
  </si>
  <si>
    <t>Sarah Gonzalez</t>
  </si>
  <si>
    <t>Daniel Miller</t>
  </si>
  <si>
    <t>Robert Brown</t>
  </si>
  <si>
    <t>Thomas Jones</t>
  </si>
  <si>
    <t>Reese Garcia</t>
  </si>
  <si>
    <t>Karen Smith</t>
  </si>
  <si>
    <t>Nancy Jones</t>
  </si>
  <si>
    <t>Christopher Davis</t>
  </si>
  <si>
    <t>Richard Hernandez</t>
  </si>
  <si>
    <t>David Gonzalez</t>
  </si>
  <si>
    <t>Jessica Miller</t>
  </si>
  <si>
    <t>Mary Williams</t>
  </si>
  <si>
    <t>Avery Martinez</t>
  </si>
  <si>
    <t>James Johnson</t>
  </si>
  <si>
    <t>Linda Martinez</t>
  </si>
  <si>
    <t>Charles Davis</t>
  </si>
  <si>
    <t>Lisa Williams</t>
  </si>
  <si>
    <t>Margaret Jones</t>
  </si>
  <si>
    <t>Thomas Martinez</t>
  </si>
  <si>
    <t>Karen Jones</t>
  </si>
  <si>
    <t>Karen Williams</t>
  </si>
  <si>
    <t>Mark Gonzalez</t>
  </si>
  <si>
    <t>William Jones</t>
  </si>
  <si>
    <t>Christopher Anderson</t>
  </si>
  <si>
    <t>Morgan Martinez</t>
  </si>
  <si>
    <t>Mary Anderson</t>
  </si>
  <si>
    <t>James Davis</t>
  </si>
  <si>
    <t>Matthew Wilson</t>
  </si>
  <si>
    <t>Mark Martinez</t>
  </si>
  <si>
    <t>William Rodriguez</t>
  </si>
  <si>
    <t>Sarah Rodriguez</t>
  </si>
  <si>
    <t>Matthew Anderson</t>
  </si>
  <si>
    <t>Michael Lopez</t>
  </si>
  <si>
    <t>Daniel Martinez</t>
  </si>
  <si>
    <t>Jessica Wilson</t>
  </si>
  <si>
    <t>Quinn Smith</t>
  </si>
  <si>
    <t>Margaret Martinez</t>
  </si>
  <si>
    <t>Patricia Martinez</t>
  </si>
  <si>
    <t>Christopher Rodriguez</t>
  </si>
  <si>
    <t>James Garcia</t>
  </si>
  <si>
    <t>Jennifer Hernandez</t>
  </si>
  <si>
    <t>David Martinez</t>
  </si>
  <si>
    <t>Sandra Miller</t>
  </si>
  <si>
    <t>Jennifer Martinez</t>
  </si>
  <si>
    <t>John Johnson</t>
  </si>
  <si>
    <t>Charles Miller</t>
  </si>
  <si>
    <t>Daniel Davis</t>
  </si>
  <si>
    <t>Betty Johnson</t>
  </si>
  <si>
    <t>Margaret Lopez</t>
  </si>
  <si>
    <t>William Hernandez</t>
  </si>
  <si>
    <t>Matthew Gonzalez</t>
  </si>
  <si>
    <t>Sandra Williams</t>
  </si>
  <si>
    <t>Linda Wilson</t>
  </si>
  <si>
    <t>Sandra Wilson</t>
  </si>
  <si>
    <t>Linda Johnson</t>
  </si>
  <si>
    <t>Richard Martinez</t>
  </si>
  <si>
    <t>Richard Wilson</t>
  </si>
  <si>
    <t>Nancy Miller</t>
  </si>
  <si>
    <t>Lisa Martinez</t>
  </si>
  <si>
    <t>Anthony Lopez</t>
  </si>
  <si>
    <t>John Wilson</t>
  </si>
  <si>
    <t>Morgan Hernandez</t>
  </si>
  <si>
    <t>Mark Lopez</t>
  </si>
  <si>
    <t>James Rodriguez</t>
  </si>
  <si>
    <t>Michael Rodriguez</t>
  </si>
  <si>
    <t>Charles Brown</t>
  </si>
  <si>
    <t>Reese Martinez</t>
  </si>
  <si>
    <t>Patricia Wilson</t>
  </si>
  <si>
    <t>Sandra Gonzalez</t>
  </si>
  <si>
    <t>Matthew Rodriguez</t>
  </si>
  <si>
    <t>Karen Martinez</t>
  </si>
  <si>
    <t>Joseph Williams</t>
  </si>
  <si>
    <t>Casey Jones</t>
  </si>
  <si>
    <t>Sarah Brown</t>
  </si>
  <si>
    <t>Mark Smith</t>
  </si>
  <si>
    <t>David Williams</t>
  </si>
  <si>
    <t>Margaret Hernandez</t>
  </si>
  <si>
    <t>Elizabeth Hernandez</t>
  </si>
  <si>
    <t>John Anderson</t>
  </si>
  <si>
    <t>David Wilson</t>
  </si>
  <si>
    <t>Christopher Miller</t>
  </si>
  <si>
    <t>Robert Johnson</t>
  </si>
  <si>
    <t>John Garcia</t>
  </si>
  <si>
    <t>William Anderson</t>
  </si>
  <si>
    <t>Betty Martinez</t>
  </si>
  <si>
    <t>Sandra Brown</t>
  </si>
  <si>
    <t>Susan Gonzalez</t>
  </si>
  <si>
    <t>David Rodriguez</t>
  </si>
  <si>
    <t>Barbara Martinez</t>
  </si>
  <si>
    <t>Jennifer Jones</t>
  </si>
  <si>
    <t>John Hernandez</t>
  </si>
  <si>
    <t>James Wilson</t>
  </si>
  <si>
    <t>James Miller</t>
  </si>
  <si>
    <t>Christopher Smith</t>
  </si>
  <si>
    <t>Thomas Lopez</t>
  </si>
  <si>
    <t>Betty Lopez</t>
  </si>
  <si>
    <t>Thomas Hernandez</t>
  </si>
  <si>
    <t>Jamie Davis</t>
  </si>
  <si>
    <t>Thomas Gonzalez</t>
  </si>
  <si>
    <t>Riley Gonzalez</t>
  </si>
  <si>
    <t>Riley Smith</t>
  </si>
  <si>
    <t>Margaret Rodriguez</t>
  </si>
  <si>
    <t>Elizabeth Anderson</t>
  </si>
  <si>
    <t>Elizabeth Miller</t>
  </si>
  <si>
    <t>Taylor Smith</t>
  </si>
  <si>
    <t>Jamie Jones</t>
  </si>
  <si>
    <t>Robert Jones</t>
  </si>
  <si>
    <t>Lisa Rodriguez</t>
  </si>
  <si>
    <t>Betty Davis</t>
  </si>
  <si>
    <t>William Miller</t>
  </si>
  <si>
    <t>Sandra Lopez</t>
  </si>
  <si>
    <t>James Lopez</t>
  </si>
  <si>
    <t>Reese Hernandez</t>
  </si>
  <si>
    <t>Michael Jones</t>
  </si>
  <si>
    <t>Anthony Miller</t>
  </si>
  <si>
    <t>David Johnson</t>
  </si>
  <si>
    <t>Susan Rodriguez</t>
  </si>
  <si>
    <t>Anthony Brown</t>
  </si>
  <si>
    <t>John Smith</t>
  </si>
  <si>
    <t>Robert Wilson</t>
  </si>
  <si>
    <t>Robert Rodriguez</t>
  </si>
  <si>
    <t>Jamie Smith</t>
  </si>
  <si>
    <t>Daniel Brown</t>
  </si>
  <si>
    <t>David Garcia</t>
  </si>
  <si>
    <t>Karen Anderson</t>
  </si>
  <si>
    <t>Avery Miller</t>
  </si>
  <si>
    <t>Betty Miller</t>
  </si>
  <si>
    <t>Michael Hernandez</t>
  </si>
  <si>
    <t>Christopher Wilson</t>
  </si>
  <si>
    <t>Christopher Garcia</t>
  </si>
  <si>
    <t>James Jones</t>
  </si>
  <si>
    <t>David Brown</t>
  </si>
  <si>
    <t>William Garcia</t>
  </si>
  <si>
    <t>Jessica Martinez</t>
  </si>
  <si>
    <t>Jennifer Davis</t>
  </si>
  <si>
    <t>Mary Smith</t>
  </si>
  <si>
    <t>Karen Rodriguez</t>
  </si>
  <si>
    <t>Joseph Johnson</t>
  </si>
  <si>
    <t>Joseph Davis</t>
  </si>
  <si>
    <t>Joseph Brown</t>
  </si>
  <si>
    <t>Nancy Smith</t>
  </si>
  <si>
    <t>Linda Miller</t>
  </si>
  <si>
    <t>Barbara Wilson</t>
  </si>
  <si>
    <t>Jessica Williams</t>
  </si>
  <si>
    <t>Daniel Jones</t>
  </si>
  <si>
    <t>Elizabeth Davis</t>
  </si>
  <si>
    <t>Joseph Wilson</t>
  </si>
  <si>
    <t>Linda Hernandez</t>
  </si>
  <si>
    <t>Quinn Miller</t>
  </si>
  <si>
    <t>Christopher Johnson</t>
  </si>
  <si>
    <t>Anthony Anderson</t>
  </si>
  <si>
    <t>James Martinez</t>
  </si>
  <si>
    <t>Patricia Smith</t>
  </si>
  <si>
    <t>Nancy Johnson</t>
  </si>
  <si>
    <t>Richard Lopez</t>
  </si>
  <si>
    <t>Richard Jones</t>
  </si>
  <si>
    <t>Betty Smith</t>
  </si>
  <si>
    <t>Lisa Brown</t>
  </si>
  <si>
    <t>Joseph Jones</t>
  </si>
  <si>
    <t>Reese Rodriguez</t>
  </si>
  <si>
    <t>Matthew Miller</t>
  </si>
  <si>
    <t>Sarah Garcia</t>
  </si>
  <si>
    <t>Thomas Williams</t>
  </si>
  <si>
    <t>David Hernandez</t>
  </si>
  <si>
    <t>Lisa Jones</t>
  </si>
  <si>
    <t>Taylor Martinez</t>
  </si>
  <si>
    <t>Linda Brown</t>
  </si>
  <si>
    <t>Thomas Rodriguez</t>
  </si>
  <si>
    <t>Thomas Davis</t>
  </si>
  <si>
    <t>Patricia Johnson</t>
  </si>
  <si>
    <t>Jessica Anderson</t>
  </si>
  <si>
    <t>Karen Johnson</t>
  </si>
  <si>
    <t>Matthew Lopez</t>
  </si>
  <si>
    <t>Karen Wilson</t>
  </si>
  <si>
    <t>Michael Davis</t>
  </si>
  <si>
    <t>Christopher Brown</t>
  </si>
  <si>
    <t>Casey Williams</t>
  </si>
  <si>
    <t>John Lopez</t>
  </si>
  <si>
    <t>Anthony Rodriguez</t>
  </si>
  <si>
    <t>Jennifer Smith</t>
  </si>
  <si>
    <t>Nancy Williams</t>
  </si>
  <si>
    <t>Sandra Davis</t>
  </si>
  <si>
    <t>Sandra Hernandez</t>
  </si>
  <si>
    <t>Nancy Garcia</t>
  </si>
  <si>
    <t>Susan Smith</t>
  </si>
  <si>
    <t>Jennifer Rodriguez</t>
  </si>
  <si>
    <t>Avery Davis</t>
  </si>
  <si>
    <t>Sarah Wilson</t>
  </si>
  <si>
    <t>Michael Wilson</t>
  </si>
  <si>
    <t>Christopher Martinez</t>
  </si>
  <si>
    <t>Matthew Smith</t>
  </si>
  <si>
    <t>Joseph Gonzalez</t>
  </si>
  <si>
    <t>Sarah Williams</t>
  </si>
  <si>
    <t>Barbara Garcia</t>
  </si>
  <si>
    <t>Nancy Rodriguez</t>
  </si>
  <si>
    <t>Thomas Garcia</t>
  </si>
  <si>
    <t>Elizabeth Rodriguez</t>
  </si>
  <si>
    <t>Barbara Brown</t>
  </si>
  <si>
    <t>Karen Hernandez</t>
  </si>
  <si>
    <t>Morgan Smith</t>
  </si>
  <si>
    <t>Robert Smith</t>
  </si>
  <si>
    <t>Taylor Williams</t>
  </si>
  <si>
    <t>David Smith</t>
  </si>
  <si>
    <t>Lisa Smith</t>
  </si>
  <si>
    <t>Patricia Gonzalez</t>
  </si>
  <si>
    <t>Susan Lopez</t>
  </si>
  <si>
    <t>Susan Johnson</t>
  </si>
  <si>
    <t>Richard Gonzalez</t>
  </si>
  <si>
    <t>Barbara Gonzalez</t>
  </si>
  <si>
    <t>Thomas Smith</t>
  </si>
  <si>
    <t>Susan Williams</t>
  </si>
  <si>
    <t>Susan Anderson</t>
  </si>
  <si>
    <t>Robert Hernandez</t>
  </si>
  <si>
    <t>Michael Gonzalez</t>
  </si>
  <si>
    <t>Elizabeth Gonzalez</t>
  </si>
  <si>
    <t>Betty Gonzalez</t>
  </si>
  <si>
    <t>Michael Brown</t>
  </si>
  <si>
    <t>Nancy Davis</t>
  </si>
  <si>
    <t>Barbara Williams</t>
  </si>
  <si>
    <t>Jennifer Brown</t>
  </si>
  <si>
    <t>Lisa Garcia</t>
  </si>
  <si>
    <t>Barbara Rodriguez</t>
  </si>
  <si>
    <t>Patricia Davis</t>
  </si>
  <si>
    <t>Reese Smith</t>
  </si>
  <si>
    <t>Susan Davis</t>
  </si>
  <si>
    <t>Lisa Anderson</t>
  </si>
  <si>
    <t>Richard Brown</t>
  </si>
  <si>
    <t>Betty Hernandez</t>
  </si>
  <si>
    <t>Linda Smith</t>
  </si>
  <si>
    <t>Sarah Davis</t>
  </si>
  <si>
    <t>Linda Anderson</t>
  </si>
  <si>
    <t>Matthew Jones</t>
  </si>
  <si>
    <t>John Brown</t>
  </si>
  <si>
    <t>Avery Gonzalez</t>
  </si>
  <si>
    <t>Mary Martinez</t>
  </si>
  <si>
    <t>Mary Johnson</t>
  </si>
  <si>
    <t>Taylor Garcia</t>
  </si>
  <si>
    <t>Alex Jones</t>
  </si>
  <si>
    <t>Anthony Garcia</t>
  </si>
  <si>
    <t>Mark Rodriguez</t>
  </si>
  <si>
    <t>Linda Gonzalez</t>
  </si>
  <si>
    <t>Morgan Gonzalez</t>
  </si>
  <si>
    <t>Sandra Anderson</t>
  </si>
  <si>
    <t>Matthew Davis</t>
  </si>
  <si>
    <t>Karen Brown</t>
  </si>
  <si>
    <t>Robert Garcia</t>
  </si>
  <si>
    <t>Riley Wilson</t>
  </si>
  <si>
    <t>Robert Miller</t>
  </si>
  <si>
    <t>Lisa Hernandez</t>
  </si>
  <si>
    <t>Casey Johnson</t>
  </si>
  <si>
    <t>James Gonzalez</t>
  </si>
  <si>
    <t>Charles Johnson</t>
  </si>
  <si>
    <t>Casey Brown</t>
  </si>
  <si>
    <t>Betty Wilson</t>
  </si>
  <si>
    <t>Anthony Martinez</t>
  </si>
  <si>
    <t>Jennifer Anderson</t>
  </si>
  <si>
    <t>Jordan Smith</t>
  </si>
  <si>
    <t>Joseph Miller</t>
  </si>
  <si>
    <t>Elizabeth Garcia</t>
  </si>
  <si>
    <t>Jessica Smith</t>
  </si>
  <si>
    <t>Linda Rodriguez</t>
  </si>
  <si>
    <t>Alex Brown</t>
  </si>
  <si>
    <t>Betty Brown</t>
  </si>
  <si>
    <t>Matthew Brown</t>
  </si>
  <si>
    <t>Jessica Johnson</t>
  </si>
  <si>
    <t>Quinn Williams</t>
  </si>
  <si>
    <t>John Williams</t>
  </si>
  <si>
    <t>Jamie Brown</t>
  </si>
  <si>
    <t>GENDER SUMMARY</t>
  </si>
  <si>
    <t>Years</t>
  </si>
  <si>
    <t>EMP101</t>
  </si>
  <si>
    <t>YEARS SUMMARY</t>
  </si>
  <si>
    <t>Count of Employee_ID</t>
  </si>
  <si>
    <t>Row Labels</t>
  </si>
  <si>
    <t>Grand Total</t>
  </si>
  <si>
    <t>Column Labels</t>
  </si>
  <si>
    <t>Average of Salary</t>
  </si>
  <si>
    <t>Details for Average of Salary - Department: Customer Support</t>
  </si>
  <si>
    <t>Max of Salary_Hike_%</t>
  </si>
  <si>
    <t>Employees by Department</t>
  </si>
  <si>
    <t>Employees by Gender</t>
  </si>
  <si>
    <t>Attrition by Department</t>
  </si>
  <si>
    <t>Average Salary by Department</t>
  </si>
  <si>
    <t>Job Satisfaction Distribution</t>
  </si>
  <si>
    <t>Work-Life Balance Distribution</t>
  </si>
  <si>
    <t>Average of Bonus</t>
  </si>
  <si>
    <t>Average Bonus by Department</t>
  </si>
  <si>
    <t>Max Salary Hike by Department</t>
  </si>
  <si>
    <t>KPI</t>
  </si>
  <si>
    <t>Total Employee</t>
  </si>
  <si>
    <t>Attrition Rate %</t>
  </si>
  <si>
    <t>Active Employees</t>
  </si>
  <si>
    <t>Employees Left</t>
  </si>
  <si>
    <t>Attrition by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</si>
</sst>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8" formatCode="&quot;₹&quot;\ #,##0.00;[Red]&quot;₹&quot;\ \-#,##0.00"/>
    <numFmt numFmtId="164" formatCode="&quot;₹&quot;\ #,##0.00"/>
  </numFmts>
  <fonts count="5" x14ac:knownFonts="1">
    <font>
      <sz val="11"/>
      <color theme="1"/>
      <name val="Calibri"/>
      <family val="2"/>
      <scheme val="minor"/>
    </font>
    <font>
      <b/>
      <sz val="11"/>
      <color theme="1"/>
      <name val="Calibri"/>
      <family val="2"/>
      <scheme val="minor"/>
    </font>
    <font>
      <b/>
      <sz val="16"/>
      <color theme="8" tint="-0.249977111117893"/>
      <name val="Calibri"/>
      <family val="2"/>
      <scheme val="minor"/>
    </font>
    <font>
      <b/>
      <sz val="11"/>
      <color theme="3"/>
      <name val="Calibri"/>
      <family val="2"/>
      <scheme val="minor"/>
    </font>
    <font>
      <b/>
      <sz val="11"/>
      <color theme="0"/>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3" tint="0.79998168889431442"/>
        <bgColor indexed="64"/>
      </patternFill>
    </fill>
    <fill>
      <patternFill patternType="solid">
        <fgColor theme="4"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6">
    <xf numFmtId="0" fontId="0" fillId="0" borderId="0" xfId="0"/>
    <xf numFmtId="0" fontId="0" fillId="0" borderId="1" xfId="0" applyBorder="1"/>
    <xf numFmtId="164" fontId="0" fillId="0" borderId="1" xfId="0" applyNumberFormat="1" applyBorder="1"/>
    <xf numFmtId="8" fontId="0" fillId="0" borderId="1" xfId="0" applyNumberFormat="1" applyBorder="1"/>
    <xf numFmtId="0" fontId="1" fillId="0" borderId="0" xfId="0" applyFont="1"/>
    <xf numFmtId="0" fontId="0" fillId="0" borderId="1" xfId="0" applyBorder="1" applyAlignment="1">
      <alignment horizontal="center"/>
    </xf>
    <xf numFmtId="0" fontId="3" fillId="3" borderId="1" xfId="0" applyFont="1" applyFill="1" applyBorder="1" applyAlignment="1">
      <alignment horizontal="center" vertical="center"/>
    </xf>
    <xf numFmtId="8" fontId="3" fillId="3" borderId="1" xfId="0" applyNumberFormat="1" applyFont="1" applyFill="1" applyBorder="1" applyAlignment="1">
      <alignment horizontal="center" vertical="center"/>
    </xf>
    <xf numFmtId="0" fontId="3" fillId="3" borderId="1" xfId="0" applyFont="1" applyFill="1" applyBorder="1" applyAlignment="1">
      <alignment horizontal="left" vertical="center"/>
    </xf>
    <xf numFmtId="0" fontId="0" fillId="0" borderId="0" xfId="0" pivotButton="1"/>
    <xf numFmtId="0" fontId="0" fillId="0" borderId="0" xfId="0" applyAlignment="1">
      <alignment horizontal="left"/>
    </xf>
    <xf numFmtId="164" fontId="0" fillId="0" borderId="0" xfId="0" applyNumberFormat="1"/>
    <xf numFmtId="0" fontId="4" fillId="4" borderId="0" xfId="0" applyFont="1" applyFill="1"/>
    <xf numFmtId="0" fontId="2" fillId="2" borderId="0" xfId="0" applyFont="1" applyFill="1" applyAlignment="1">
      <alignment horizontal="center" vertical="center"/>
    </xf>
    <xf numFmtId="0" fontId="2" fillId="2" borderId="2" xfId="0" applyFont="1" applyFill="1" applyBorder="1" applyAlignment="1">
      <alignment horizontal="center" vertical="center"/>
    </xf>
    <xf numFmtId="0" fontId="0" fillId="0" borderId="0" xfId="0" applyNumberFormat="1"/>
  </cellXfs>
  <cellStyles count="1">
    <cellStyle name="Normal" xfId="0" builtinId="0"/>
  </cellStyles>
  <dxfs count="80">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font>
        <b/>
        <i val="0"/>
        <sz val="16"/>
      </font>
    </dxf>
    <dxf>
      <font>
        <sz val="14"/>
      </font>
      <fill>
        <patternFill>
          <bgColor theme="8" tint="0.79998168889431442"/>
        </patternFill>
      </fill>
      <border diagonalUp="0" diagonalDown="0">
        <left/>
        <right/>
        <top/>
        <bottom/>
        <vertical/>
        <horizontal/>
      </border>
    </dxf>
  </dxfs>
  <tableStyles count="2" defaultTableStyle="TableStyleMedium9" defaultPivotStyle="PivotStyleLight16">
    <tableStyle name="Invisible" pivot="0" table="0" count="0" xr9:uid="{A5B63408-06B0-4B19-9972-09BF47356D2A}"/>
    <tableStyle name="Slicer Style 1" pivot="0" table="0" count="5" xr9:uid="{07A2C4D4-46A9-4A85-A93A-2E5003BC983F}">
      <tableStyleElement type="wholeTable" dxfId="79"/>
      <tableStyleElement type="headerRow" dxfId="78"/>
    </tableStyle>
  </tableStyles>
  <colors>
    <mruColors>
      <color rgb="FFFEF1E6"/>
    </mruColors>
  </colors>
  <extLst>
    <ext xmlns:x14="http://schemas.microsoft.com/office/spreadsheetml/2009/9/main" uri="{46F421CA-312F-682f-3DD2-61675219B42D}">
      <x14:dxfs count="3">
        <dxf>
          <font>
            <sz val="22"/>
          </font>
        </dxf>
        <dxf>
          <font>
            <b/>
            <i val="0"/>
            <sz val="22"/>
            <color theme="0"/>
          </font>
          <fill>
            <patternFill>
              <bgColor theme="8" tint="-0.24994659260841701"/>
            </patternFill>
          </fill>
        </dxf>
        <dxf>
          <font>
            <sz val="22"/>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[HR_Analytics_Dataset.xlsx]PIVOT!Employees by Gender</c:name>
    <c:fmtId val="3"/>
  </c:pivotSource>
  <c:chart>
    <c:title>
      <c:tx>
        <c:rich>
          <a:bodyPr rot="0" spcFirstLastPara="1" vertOverflow="ellipsis" vert="horz" wrap="square" anchor="ctr" anchorCtr="1"/>
          <a:lstStyle/>
          <a:p>
            <a:pPr algn="ctr" rtl="0">
              <a:defRPr lang="en-US" sz="1600" b="0" i="0" u="none" strike="noStrike" kern="1200" cap="none" spc="0" normalizeH="0" baseline="0">
                <a:solidFill>
                  <a:sysClr val="windowText" lastClr="000000">
                    <a:lumMod val="65000"/>
                    <a:lumOff val="35000"/>
                  </a:sysClr>
                </a:solidFill>
                <a:latin typeface="+mj-lt"/>
                <a:ea typeface="+mj-ea"/>
                <a:cs typeface="+mj-cs"/>
              </a:defRPr>
            </a:pPr>
            <a:r>
              <a:rPr lang="en-US" sz="1600" b="0" i="0" u="none" strike="noStrike" kern="1200" cap="none" spc="0" normalizeH="0" baseline="0">
                <a:solidFill>
                  <a:sysClr val="windowText" lastClr="000000">
                    <a:lumMod val="65000"/>
                    <a:lumOff val="35000"/>
                  </a:sysClr>
                </a:solidFill>
                <a:latin typeface="+mj-lt"/>
                <a:ea typeface="+mj-ea"/>
                <a:cs typeface="+mj-cs"/>
              </a:rPr>
              <a:t>EMPLOYEE DISTRIBUTION BY GENDER</a:t>
            </a:r>
          </a:p>
        </c:rich>
      </c:tx>
      <c:layout>
        <c:manualLayout>
          <c:xMode val="edge"/>
          <c:yMode val="edge"/>
          <c:x val="2.6293432092729094E-2"/>
          <c:y val="2.7235957754956443E-2"/>
        </c:manualLayout>
      </c:layout>
      <c:overlay val="0"/>
      <c:spPr>
        <a:noFill/>
        <a:ln>
          <a:noFill/>
        </a:ln>
        <a:effectLst/>
      </c:spPr>
      <c:txPr>
        <a:bodyPr rot="0" spcFirstLastPara="1" vertOverflow="ellipsis" vert="horz" wrap="square" anchor="ctr" anchorCtr="1"/>
        <a:lstStyle/>
        <a:p>
          <a:pPr algn="ctr" rtl="0">
            <a:defRPr lang="en-US" sz="16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tint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hade val="65000"/>
            </a:schemeClr>
          </a:solidFill>
          <a:ln w="19050">
            <a:solidFill>
              <a:schemeClr val="lt1"/>
            </a:solidFill>
          </a:ln>
          <a:effectLst/>
        </c:spPr>
        <c:dLbl>
          <c:idx val="0"/>
          <c:layout>
            <c:manualLayout>
              <c:x val="1.9405744727482261E-2"/>
              <c:y val="9.424585469252379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PIVOT!$E$3</c:f>
              <c:strCache>
                <c:ptCount val="1"/>
                <c:pt idx="0">
                  <c:v>Total</c:v>
                </c:pt>
              </c:strCache>
            </c:strRef>
          </c:tx>
          <c:dPt>
            <c:idx val="0"/>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1-72B9-47FA-9CD4-9686F02013C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2B9-47FA-9CD4-9686F02013CA}"/>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72B9-47FA-9CD4-9686F02013CA}"/>
              </c:ext>
            </c:extLst>
          </c:dPt>
          <c:dLbls>
            <c:dLbl>
              <c:idx val="2"/>
              <c:layout>
                <c:manualLayout>
                  <c:x val="1.9405744727482261E-2"/>
                  <c:y val="9.424585469252379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2B9-47FA-9CD4-9686F02013C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PIVOT!$D$4:$D$7</c:f>
              <c:strCache>
                <c:ptCount val="3"/>
                <c:pt idx="0">
                  <c:v>Female</c:v>
                </c:pt>
                <c:pt idx="1">
                  <c:v>Male</c:v>
                </c:pt>
                <c:pt idx="2">
                  <c:v>Undisclosed</c:v>
                </c:pt>
              </c:strCache>
            </c:strRef>
          </c:cat>
          <c:val>
            <c:numRef>
              <c:f>PIVOT!$E$4:$E$7</c:f>
              <c:numCache>
                <c:formatCode>General</c:formatCode>
                <c:ptCount val="3"/>
                <c:pt idx="0">
                  <c:v>412</c:v>
                </c:pt>
                <c:pt idx="1">
                  <c:v>540</c:v>
                </c:pt>
                <c:pt idx="2">
                  <c:v>48</c:v>
                </c:pt>
              </c:numCache>
            </c:numRef>
          </c:val>
          <c:extLst>
            <c:ext xmlns:c16="http://schemas.microsoft.com/office/drawing/2014/chart" uri="{C3380CC4-5D6E-409C-BE32-E72D297353CC}">
              <c16:uniqueId val="{00000006-72B9-47FA-9CD4-9686F02013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23887859462546249"/>
          <c:y val="0.15470047815925086"/>
          <c:w val="0.51163293397823495"/>
          <c:h val="7.162681821182580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[HR_Analytics_Dataset.xlsx]PIVOT!Attrition by Department</c:name>
    <c:fmtId val="3"/>
  </c:pivotSource>
  <c:chart>
    <c:title>
      <c:tx>
        <c:rich>
          <a:bodyPr rot="0" spcFirstLastPara="1" vertOverflow="ellipsis" vert="horz" wrap="square" anchor="ctr" anchorCtr="1"/>
          <a:lstStyle/>
          <a:p>
            <a:pPr algn="ctr" rtl="0">
              <a:defRPr lang="en-US" sz="1600" b="0" i="0" u="none" strike="noStrike" kern="1200" cap="none" spc="0" normalizeH="0" baseline="0">
                <a:solidFill>
                  <a:sysClr val="windowText" lastClr="000000">
                    <a:lumMod val="65000"/>
                    <a:lumOff val="35000"/>
                  </a:sysClr>
                </a:solidFill>
                <a:latin typeface="+mj-lt"/>
                <a:ea typeface="+mj-ea"/>
                <a:cs typeface="+mj-cs"/>
              </a:defRPr>
            </a:pPr>
            <a:r>
              <a:rPr lang="en-US" sz="1600" b="0" i="0" u="none" strike="noStrike" kern="1200" cap="none" spc="0" normalizeH="0" baseline="0">
                <a:solidFill>
                  <a:sysClr val="windowText" lastClr="000000">
                    <a:lumMod val="65000"/>
                    <a:lumOff val="35000"/>
                  </a:sysClr>
                </a:solidFill>
                <a:latin typeface="+mj-lt"/>
                <a:ea typeface="+mj-ea"/>
                <a:cs typeface="+mj-cs"/>
              </a:rPr>
              <a:t>ATTRITION BY DEPARTMENT</a:t>
            </a:r>
          </a:p>
        </c:rich>
      </c:tx>
      <c:layout>
        <c:manualLayout>
          <c:xMode val="edge"/>
          <c:yMode val="edge"/>
          <c:x val="2.9259836739418423E-2"/>
          <c:y val="2.8363894623292491E-2"/>
        </c:manualLayout>
      </c:layout>
      <c:overlay val="0"/>
      <c:spPr>
        <a:noFill/>
        <a:ln>
          <a:noFill/>
        </a:ln>
        <a:effectLst/>
      </c:spPr>
      <c:txPr>
        <a:bodyPr rot="0" spcFirstLastPara="1" vertOverflow="ellipsis" vert="horz" wrap="square" anchor="ctr" anchorCtr="1"/>
        <a:lstStyle/>
        <a:p>
          <a:pPr algn="ctr" rtl="0">
            <a:defRPr lang="en-US" sz="16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124524469215616E-2"/>
          <c:y val="0.17537256753275185"/>
          <c:w val="0.91235406342700953"/>
          <c:h val="0.60448042983858541"/>
        </c:manualLayout>
      </c:layout>
      <c:lineChart>
        <c:grouping val="standard"/>
        <c:varyColors val="0"/>
        <c:ser>
          <c:idx val="0"/>
          <c:order val="0"/>
          <c:tx>
            <c:strRef>
              <c:f>PIVOT!$H$3:$H$4</c:f>
              <c:strCache>
                <c:ptCount val="1"/>
                <c:pt idx="0">
                  <c:v>No</c:v>
                </c:pt>
              </c:strCache>
            </c:strRef>
          </c:tx>
          <c:spPr>
            <a:ln w="28575" cap="rnd">
              <a:solidFill>
                <a:schemeClr val="accent5">
                  <a:lumMod val="40000"/>
                  <a:lumOff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PIVOT!$G$5:$G$13</c:f>
              <c:strCache>
                <c:ptCount val="8"/>
                <c:pt idx="0">
                  <c:v>Customer Support</c:v>
                </c:pt>
                <c:pt idx="1">
                  <c:v>Engineering</c:v>
                </c:pt>
                <c:pt idx="2">
                  <c:v>Finance</c:v>
                </c:pt>
                <c:pt idx="3">
                  <c:v>HR</c:v>
                </c:pt>
                <c:pt idx="4">
                  <c:v>IT</c:v>
                </c:pt>
                <c:pt idx="5">
                  <c:v>Marketing</c:v>
                </c:pt>
                <c:pt idx="6">
                  <c:v>Operations</c:v>
                </c:pt>
                <c:pt idx="7">
                  <c:v>Sales</c:v>
                </c:pt>
              </c:strCache>
            </c:strRef>
          </c:cat>
          <c:val>
            <c:numRef>
              <c:f>PIVOT!$H$5:$H$13</c:f>
              <c:numCache>
                <c:formatCode>General</c:formatCode>
                <c:ptCount val="8"/>
                <c:pt idx="0">
                  <c:v>74</c:v>
                </c:pt>
                <c:pt idx="1">
                  <c:v>223</c:v>
                </c:pt>
                <c:pt idx="2">
                  <c:v>94</c:v>
                </c:pt>
                <c:pt idx="3">
                  <c:v>66</c:v>
                </c:pt>
                <c:pt idx="4">
                  <c:v>73</c:v>
                </c:pt>
                <c:pt idx="5">
                  <c:v>83</c:v>
                </c:pt>
                <c:pt idx="6">
                  <c:v>98</c:v>
                </c:pt>
                <c:pt idx="7">
                  <c:v>148</c:v>
                </c:pt>
              </c:numCache>
            </c:numRef>
          </c:val>
          <c:smooth val="0"/>
          <c:extLst>
            <c:ext xmlns:c16="http://schemas.microsoft.com/office/drawing/2014/chart" uri="{C3380CC4-5D6E-409C-BE32-E72D297353CC}">
              <c16:uniqueId val="{00000000-224B-4EA2-98FD-5A9494A86B6C}"/>
            </c:ext>
          </c:extLst>
        </c:ser>
        <c:ser>
          <c:idx val="1"/>
          <c:order val="1"/>
          <c:tx>
            <c:strRef>
              <c:f>PIVOT!$I$3:$I$4</c:f>
              <c:strCache>
                <c:ptCount val="1"/>
                <c:pt idx="0">
                  <c:v>Yes</c:v>
                </c:pt>
              </c:strCache>
            </c:strRef>
          </c:tx>
          <c:spPr>
            <a:ln w="28575" cap="rnd">
              <a:solidFill>
                <a:schemeClr val="accent5">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PIVOT!$G$5:$G$13</c:f>
              <c:strCache>
                <c:ptCount val="8"/>
                <c:pt idx="0">
                  <c:v>Customer Support</c:v>
                </c:pt>
                <c:pt idx="1">
                  <c:v>Engineering</c:v>
                </c:pt>
                <c:pt idx="2">
                  <c:v>Finance</c:v>
                </c:pt>
                <c:pt idx="3">
                  <c:v>HR</c:v>
                </c:pt>
                <c:pt idx="4">
                  <c:v>IT</c:v>
                </c:pt>
                <c:pt idx="5">
                  <c:v>Marketing</c:v>
                </c:pt>
                <c:pt idx="6">
                  <c:v>Operations</c:v>
                </c:pt>
                <c:pt idx="7">
                  <c:v>Sales</c:v>
                </c:pt>
              </c:strCache>
            </c:strRef>
          </c:cat>
          <c:val>
            <c:numRef>
              <c:f>PIVOT!$I$5:$I$13</c:f>
              <c:numCache>
                <c:formatCode>General</c:formatCode>
                <c:ptCount val="8"/>
                <c:pt idx="0">
                  <c:v>9</c:v>
                </c:pt>
                <c:pt idx="1">
                  <c:v>29</c:v>
                </c:pt>
                <c:pt idx="2">
                  <c:v>16</c:v>
                </c:pt>
                <c:pt idx="3">
                  <c:v>14</c:v>
                </c:pt>
                <c:pt idx="4">
                  <c:v>7</c:v>
                </c:pt>
                <c:pt idx="5">
                  <c:v>19</c:v>
                </c:pt>
                <c:pt idx="6">
                  <c:v>17</c:v>
                </c:pt>
                <c:pt idx="7">
                  <c:v>30</c:v>
                </c:pt>
              </c:numCache>
            </c:numRef>
          </c:val>
          <c:smooth val="0"/>
          <c:extLst>
            <c:ext xmlns:c16="http://schemas.microsoft.com/office/drawing/2014/chart" uri="{C3380CC4-5D6E-409C-BE32-E72D297353CC}">
              <c16:uniqueId val="{00000005-914B-44A6-B3CE-3A969490DC82}"/>
            </c:ext>
          </c:extLst>
        </c:ser>
        <c:dLbls>
          <c:showLegendKey val="0"/>
          <c:showVal val="1"/>
          <c:showCatName val="0"/>
          <c:showSerName val="0"/>
          <c:showPercent val="0"/>
          <c:showBubbleSize val="0"/>
        </c:dLbls>
        <c:smooth val="0"/>
        <c:axId val="1520682959"/>
        <c:axId val="597652543"/>
      </c:lineChart>
      <c:catAx>
        <c:axId val="1520682959"/>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accent5">
                        <a:lumMod val="75000"/>
                      </a:schemeClr>
                    </a:solidFill>
                    <a:latin typeface="+mn-lt"/>
                    <a:ea typeface="+mn-ea"/>
                    <a:cs typeface="+mn-cs"/>
                  </a:defRPr>
                </a:pPr>
                <a:r>
                  <a:rPr lang="en-IN" sz="1100" b="1">
                    <a:solidFill>
                      <a:schemeClr val="accent5">
                        <a:lumMod val="75000"/>
                      </a:schemeClr>
                    </a:solidFill>
                  </a:rPr>
                  <a:t>Department</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accent5">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97652543"/>
        <c:crosses val="autoZero"/>
        <c:auto val="1"/>
        <c:lblAlgn val="ctr"/>
        <c:lblOffset val="100"/>
        <c:noMultiLvlLbl val="0"/>
      </c:catAx>
      <c:valAx>
        <c:axId val="597652543"/>
        <c:scaling>
          <c:orientation val="minMax"/>
        </c:scaling>
        <c:delete val="1"/>
        <c:axPos val="l"/>
        <c:title>
          <c:tx>
            <c:rich>
              <a:bodyPr rot="-5400000" spcFirstLastPara="1" vertOverflow="ellipsis" vert="horz" wrap="square" anchor="ctr" anchorCtr="1"/>
              <a:lstStyle/>
              <a:p>
                <a:pPr>
                  <a:defRPr sz="1100" b="1" i="0" u="none" strike="noStrike" kern="1200" baseline="0">
                    <a:solidFill>
                      <a:schemeClr val="accent5">
                        <a:lumMod val="75000"/>
                      </a:schemeClr>
                    </a:solidFill>
                    <a:latin typeface="+mn-lt"/>
                    <a:ea typeface="+mn-ea"/>
                    <a:cs typeface="+mn-cs"/>
                  </a:defRPr>
                </a:pPr>
                <a:r>
                  <a:rPr lang="en-IN" sz="1100" b="1">
                    <a:solidFill>
                      <a:schemeClr val="accent5">
                        <a:lumMod val="75000"/>
                      </a:schemeClr>
                    </a:solidFill>
                  </a:rPr>
                  <a:t>No</a:t>
                </a:r>
                <a:r>
                  <a:rPr lang="en-IN" sz="1100" b="1" baseline="0">
                    <a:solidFill>
                      <a:schemeClr val="accent5">
                        <a:lumMod val="75000"/>
                      </a:schemeClr>
                    </a:solidFill>
                  </a:rPr>
                  <a:t> of employee</a:t>
                </a:r>
                <a:endParaRPr lang="en-IN" sz="1100" b="1">
                  <a:solidFill>
                    <a:schemeClr val="accent5">
                      <a:lumMod val="75000"/>
                    </a:schemeClr>
                  </a:solidFill>
                </a:endParaRP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accent5">
                      <a:lumMod val="75000"/>
                    </a:schemeClr>
                  </a:solidFill>
                  <a:latin typeface="+mn-lt"/>
                  <a:ea typeface="+mn-ea"/>
                  <a:cs typeface="+mn-cs"/>
                </a:defRPr>
              </a:pPr>
              <a:endParaRPr lang="en-IN"/>
            </a:p>
          </c:txPr>
        </c:title>
        <c:numFmt formatCode="General" sourceLinked="1"/>
        <c:majorTickMark val="none"/>
        <c:minorTickMark val="none"/>
        <c:tickLblPos val="nextTo"/>
        <c:crossAx val="15206829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[HR_Analytics_Dataset.xlsx]PIVOT!Job Satisfaction Distribution</c:name>
    <c:fmtId val="3"/>
  </c:pivotSource>
  <c:chart>
    <c:title>
      <c:tx>
        <c:rich>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r>
              <a:rPr lang="en-US" sz="1600"/>
              <a:t> </a:t>
            </a:r>
            <a:r>
              <a:rPr lang="en-IN" sz="1600" b="1" i="0" u="none" strike="noStrike" cap="all" normalizeH="0" baseline="0"/>
              <a:t>Employee Distribution by Job Satisfaction</a:t>
            </a:r>
            <a:endParaRPr lang="en-US" sz="1600"/>
          </a:p>
        </c:rich>
      </c:tx>
      <c:layout>
        <c:manualLayout>
          <c:xMode val="edge"/>
          <c:yMode val="edge"/>
          <c:x val="1.9818304196038798E-2"/>
          <c:y val="2.9374852383069049E-2"/>
        </c:manualLayout>
      </c:layout>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336636683363173E-2"/>
          <c:y val="0.17505449123642755"/>
          <c:w val="0.90716153067076788"/>
          <c:h val="0.60927678669730212"/>
        </c:manualLayout>
      </c:layout>
      <c:lineChart>
        <c:grouping val="standard"/>
        <c:varyColors val="0"/>
        <c:ser>
          <c:idx val="0"/>
          <c:order val="0"/>
          <c:tx>
            <c:strRef>
              <c:f>PIVOT!$E$17</c:f>
              <c:strCache>
                <c:ptCount val="1"/>
                <c:pt idx="0">
                  <c:v>Total</c:v>
                </c:pt>
              </c:strCache>
            </c:strRef>
          </c:tx>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PIVOT!$D$18:$D$23</c:f>
              <c:strCache>
                <c:ptCount val="5"/>
                <c:pt idx="0">
                  <c:v>1</c:v>
                </c:pt>
                <c:pt idx="1">
                  <c:v>2</c:v>
                </c:pt>
                <c:pt idx="2">
                  <c:v>3</c:v>
                </c:pt>
                <c:pt idx="3">
                  <c:v>4</c:v>
                </c:pt>
                <c:pt idx="4">
                  <c:v>5</c:v>
                </c:pt>
              </c:strCache>
            </c:strRef>
          </c:cat>
          <c:val>
            <c:numRef>
              <c:f>PIVOT!$E$18:$E$23</c:f>
              <c:numCache>
                <c:formatCode>General</c:formatCode>
                <c:ptCount val="5"/>
                <c:pt idx="0">
                  <c:v>197</c:v>
                </c:pt>
                <c:pt idx="1">
                  <c:v>206</c:v>
                </c:pt>
                <c:pt idx="2">
                  <c:v>190</c:v>
                </c:pt>
                <c:pt idx="3">
                  <c:v>220</c:v>
                </c:pt>
                <c:pt idx="4">
                  <c:v>187</c:v>
                </c:pt>
              </c:numCache>
            </c:numRef>
          </c:val>
          <c:smooth val="0"/>
          <c:extLst>
            <c:ext xmlns:c16="http://schemas.microsoft.com/office/drawing/2014/chart" uri="{C3380CC4-5D6E-409C-BE32-E72D297353CC}">
              <c16:uniqueId val="{00000000-6582-488A-A02C-DAB894BDE4D2}"/>
            </c:ext>
          </c:extLst>
        </c:ser>
        <c:dLbls>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11315263"/>
        <c:axId val="1522382703"/>
      </c:lineChart>
      <c:catAx>
        <c:axId val="141131526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Job</a:t>
                </a:r>
                <a:r>
                  <a:rPr lang="en-IN" baseline="0"/>
                  <a:t> Satisfaction</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22382703"/>
        <c:crosses val="autoZero"/>
        <c:auto val="1"/>
        <c:lblAlgn val="ctr"/>
        <c:lblOffset val="100"/>
        <c:noMultiLvlLbl val="0"/>
      </c:catAx>
      <c:valAx>
        <c:axId val="1522382703"/>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Number</a:t>
                </a:r>
                <a:r>
                  <a:rPr lang="en-IN" baseline="0"/>
                  <a:t> of Employee</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crossAx val="141131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[HR_Analytics_Dataset.xlsx]PIVOT!Work-Life Balance Distribution</c:name>
    <c:fmtId val="3"/>
  </c:pivotSource>
  <c:chart>
    <c:title>
      <c:tx>
        <c:rich>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r>
              <a:rPr lang="en-US" sz="1600"/>
              <a:t>Work-Life Balance Distribution</a:t>
            </a:r>
          </a:p>
        </c:rich>
      </c:tx>
      <c:layout>
        <c:manualLayout>
          <c:xMode val="edge"/>
          <c:yMode val="edge"/>
          <c:x val="3.9955637963449926E-2"/>
          <c:y val="3.3031884872177009E-2"/>
        </c:manualLayout>
      </c:layout>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516767440635665E-2"/>
          <c:y val="0.17456202256970918"/>
          <c:w val="0.87054268438748172"/>
          <c:h val="0.63315880850477557"/>
        </c:manualLayout>
      </c:layout>
      <c:lineChart>
        <c:grouping val="standard"/>
        <c:varyColors val="0"/>
        <c:ser>
          <c:idx val="0"/>
          <c:order val="0"/>
          <c:tx>
            <c:strRef>
              <c:f>PIVOT!$H$17</c:f>
              <c:strCache>
                <c:ptCount val="1"/>
                <c:pt idx="0">
                  <c:v>Total</c:v>
                </c:pt>
              </c:strCache>
            </c:strRef>
          </c:tx>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PIVOT!$G$18:$G$23</c:f>
              <c:strCache>
                <c:ptCount val="5"/>
                <c:pt idx="0">
                  <c:v>1</c:v>
                </c:pt>
                <c:pt idx="1">
                  <c:v>2</c:v>
                </c:pt>
                <c:pt idx="2">
                  <c:v>3</c:v>
                </c:pt>
                <c:pt idx="3">
                  <c:v>4</c:v>
                </c:pt>
                <c:pt idx="4">
                  <c:v>5</c:v>
                </c:pt>
              </c:strCache>
            </c:strRef>
          </c:cat>
          <c:val>
            <c:numRef>
              <c:f>PIVOT!$H$18:$H$23</c:f>
              <c:numCache>
                <c:formatCode>General</c:formatCode>
                <c:ptCount val="5"/>
                <c:pt idx="0">
                  <c:v>212</c:v>
                </c:pt>
                <c:pt idx="1">
                  <c:v>227</c:v>
                </c:pt>
                <c:pt idx="2">
                  <c:v>180</c:v>
                </c:pt>
                <c:pt idx="3">
                  <c:v>180</c:v>
                </c:pt>
                <c:pt idx="4">
                  <c:v>201</c:v>
                </c:pt>
              </c:numCache>
            </c:numRef>
          </c:val>
          <c:smooth val="0"/>
          <c:extLst>
            <c:ext xmlns:c16="http://schemas.microsoft.com/office/drawing/2014/chart" uri="{C3380CC4-5D6E-409C-BE32-E72D297353CC}">
              <c16:uniqueId val="{00000000-2A3E-4FEB-AFFA-014CC88DCF37}"/>
            </c:ext>
          </c:extLst>
        </c:ser>
        <c:dLbls>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11400559"/>
        <c:axId val="1531397967"/>
      </c:lineChart>
      <c:catAx>
        <c:axId val="8114005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Work</a:t>
                </a:r>
                <a:r>
                  <a:rPr lang="en-IN" baseline="0"/>
                  <a:t> Life Balance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31397967"/>
        <c:crosses val="autoZero"/>
        <c:auto val="1"/>
        <c:lblAlgn val="ctr"/>
        <c:lblOffset val="100"/>
        <c:noMultiLvlLbl val="0"/>
      </c:catAx>
      <c:valAx>
        <c:axId val="1531397967"/>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Number</a:t>
                </a:r>
                <a:r>
                  <a:rPr lang="en-IN" baseline="0"/>
                  <a:t> of Employee</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crossAx val="81140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[HR_Analytics_Dataset.xlsx]PIVOT!PivotTable6</c:name>
    <c:fmtId val="3"/>
  </c:pivotSource>
  <c:chart>
    <c:title>
      <c:tx>
        <c:rich>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r>
              <a:rPr lang="en-US" sz="1600"/>
              <a:t>Max Salary Hike % by Department</a:t>
            </a:r>
          </a:p>
        </c:rich>
      </c:tx>
      <c:layout>
        <c:manualLayout>
          <c:xMode val="edge"/>
          <c:yMode val="edge"/>
          <c:x val="2.3133241097259019E-2"/>
          <c:y val="3.701716134081421E-2"/>
        </c:manualLayout>
      </c:layout>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PIVOT!$E$29</c:f>
              <c:strCache>
                <c:ptCount val="1"/>
                <c:pt idx="0">
                  <c:v>Total</c:v>
                </c:pt>
              </c:strCache>
            </c:strRef>
          </c:tx>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PIVOT!$D$30:$D$38</c:f>
              <c:strCache>
                <c:ptCount val="8"/>
                <c:pt idx="0">
                  <c:v>Customer Support</c:v>
                </c:pt>
                <c:pt idx="1">
                  <c:v>Engineering</c:v>
                </c:pt>
                <c:pt idx="2">
                  <c:v>Finance</c:v>
                </c:pt>
                <c:pt idx="3">
                  <c:v>HR</c:v>
                </c:pt>
                <c:pt idx="4">
                  <c:v>IT</c:v>
                </c:pt>
                <c:pt idx="5">
                  <c:v>Marketing</c:v>
                </c:pt>
                <c:pt idx="6">
                  <c:v>Operations</c:v>
                </c:pt>
                <c:pt idx="7">
                  <c:v>Sales</c:v>
                </c:pt>
              </c:strCache>
            </c:strRef>
          </c:cat>
          <c:val>
            <c:numRef>
              <c:f>PIVOT!$E$30:$E$38</c:f>
              <c:numCache>
                <c:formatCode>General</c:formatCode>
                <c:ptCount val="8"/>
                <c:pt idx="0">
                  <c:v>14.7</c:v>
                </c:pt>
                <c:pt idx="1">
                  <c:v>15</c:v>
                </c:pt>
                <c:pt idx="2">
                  <c:v>14.8</c:v>
                </c:pt>
                <c:pt idx="3">
                  <c:v>14.7</c:v>
                </c:pt>
                <c:pt idx="4">
                  <c:v>14.8</c:v>
                </c:pt>
                <c:pt idx="5">
                  <c:v>14.9</c:v>
                </c:pt>
                <c:pt idx="6">
                  <c:v>14.8</c:v>
                </c:pt>
                <c:pt idx="7">
                  <c:v>15</c:v>
                </c:pt>
              </c:numCache>
            </c:numRef>
          </c:val>
          <c:smooth val="0"/>
          <c:extLst>
            <c:ext xmlns:c16="http://schemas.microsoft.com/office/drawing/2014/chart" uri="{C3380CC4-5D6E-409C-BE32-E72D297353CC}">
              <c16:uniqueId val="{00000000-EC31-4611-A48F-FDFDF3ED8760}"/>
            </c:ext>
          </c:extLst>
        </c:ser>
        <c:dLbls>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33877679"/>
        <c:axId val="1533875759"/>
      </c:lineChart>
      <c:catAx>
        <c:axId val="153387767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Department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33875759"/>
        <c:crosses val="autoZero"/>
        <c:auto val="1"/>
        <c:lblAlgn val="ctr"/>
        <c:lblOffset val="100"/>
        <c:noMultiLvlLbl val="0"/>
      </c:catAx>
      <c:valAx>
        <c:axId val="1533875759"/>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Maximum</a:t>
                </a:r>
                <a:r>
                  <a:rPr lang="en-IN" baseline="0"/>
                  <a:t> Hike %</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crossAx val="153387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[HR_Analytics_Dataset.xlsx]PIVOT!Attrition by Year</c:name>
    <c:fmtId val="3"/>
  </c:pivotSource>
  <c:chart>
    <c:title>
      <c:tx>
        <c:rich>
          <a:bodyPr rot="0" spcFirstLastPara="1" vertOverflow="ellipsis" vert="horz" wrap="square" anchor="ctr" anchorCtr="1"/>
          <a:lstStyle/>
          <a:p>
            <a:pPr algn="ctr" rtl="0">
              <a:defRPr lang="en-US" sz="1600" b="0" i="0" u="none" strike="noStrike" kern="1200" cap="none" spc="0" normalizeH="0" baseline="0">
                <a:solidFill>
                  <a:sysClr val="windowText" lastClr="000000">
                    <a:lumMod val="65000"/>
                    <a:lumOff val="35000"/>
                  </a:sysClr>
                </a:solidFill>
                <a:latin typeface="+mj-lt"/>
                <a:ea typeface="+mj-ea"/>
                <a:cs typeface="+mj-cs"/>
              </a:defRPr>
            </a:pPr>
            <a:r>
              <a:rPr lang="en-US" sz="1600" b="0" i="0" u="none" strike="noStrike" kern="1200" cap="none" spc="0" normalizeH="0" baseline="0">
                <a:solidFill>
                  <a:sysClr val="windowText" lastClr="000000">
                    <a:lumMod val="65000"/>
                    <a:lumOff val="35000"/>
                  </a:sysClr>
                </a:solidFill>
                <a:latin typeface="+mj-lt"/>
                <a:ea typeface="+mj-ea"/>
                <a:cs typeface="+mj-cs"/>
              </a:rPr>
              <a:t>ATTRITION BY YEAR</a:t>
            </a:r>
          </a:p>
        </c:rich>
      </c:tx>
      <c:layout>
        <c:manualLayout>
          <c:xMode val="edge"/>
          <c:yMode val="edge"/>
          <c:x val="2.4476096510819449E-2"/>
          <c:y val="3.3250475193799027E-2"/>
        </c:manualLayout>
      </c:layout>
      <c:overlay val="0"/>
      <c:spPr>
        <a:noFill/>
        <a:ln>
          <a:noFill/>
        </a:ln>
        <a:effectLst/>
      </c:spPr>
      <c:txPr>
        <a:bodyPr rot="0" spcFirstLastPara="1" vertOverflow="ellipsis" vert="horz" wrap="square" anchor="ctr" anchorCtr="1"/>
        <a:lstStyle/>
        <a:p>
          <a:pPr algn="ctr" rtl="0">
            <a:defRPr lang="en-US" sz="16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w="19050">
            <a:noFill/>
          </a:ln>
          <a:effectLst/>
        </c:spPr>
      </c:pivotFmt>
      <c:pivotFmt>
        <c:idx val="8"/>
        <c:spPr>
          <a:solidFill>
            <a:schemeClr val="accent5">
              <a:lumMod val="75000"/>
            </a:schemeClr>
          </a:solidFill>
          <a:ln w="19050">
            <a:noFill/>
          </a:ln>
          <a:effectLst/>
        </c:spPr>
      </c:pivotFmt>
      <c:pivotFmt>
        <c:idx val="9"/>
        <c:spPr>
          <a:solidFill>
            <a:schemeClr val="accent5">
              <a:lumMod val="75000"/>
            </a:schemeClr>
          </a:solidFill>
          <a:ln w="19050">
            <a:noFill/>
          </a:ln>
          <a:effectLst/>
        </c:spPr>
      </c:pivotFmt>
      <c:pivotFmt>
        <c:idx val="10"/>
        <c:spPr>
          <a:solidFill>
            <a:schemeClr val="accent5">
              <a:lumMod val="75000"/>
            </a:schemeClr>
          </a:solidFill>
          <a:ln w="19050">
            <a:noFill/>
          </a:ln>
          <a:effectLst/>
        </c:spPr>
      </c:pivotFmt>
      <c:pivotFmt>
        <c:idx val="11"/>
        <c:spPr>
          <a:solidFill>
            <a:schemeClr val="accent5">
              <a:lumMod val="40000"/>
              <a:lumOff val="60000"/>
            </a:schemeClr>
          </a:solidFill>
          <a:ln w="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40000"/>
              <a:lumOff val="60000"/>
            </a:schemeClr>
          </a:solidFill>
          <a:ln w="0">
            <a:noFill/>
          </a:ln>
          <a:effectLst/>
        </c:spPr>
      </c:pivotFmt>
      <c:pivotFmt>
        <c:idx val="13"/>
        <c:spPr>
          <a:solidFill>
            <a:schemeClr val="accent5">
              <a:lumMod val="40000"/>
              <a:lumOff val="60000"/>
            </a:schemeClr>
          </a:solidFill>
          <a:ln w="0">
            <a:noFill/>
          </a:ln>
          <a:effectLst/>
        </c:spPr>
      </c:pivotFmt>
      <c:pivotFmt>
        <c:idx val="14"/>
        <c:spPr>
          <a:solidFill>
            <a:schemeClr val="accent5">
              <a:lumMod val="40000"/>
              <a:lumOff val="60000"/>
            </a:schemeClr>
          </a:solidFill>
          <a:ln w="0">
            <a:noFill/>
          </a:ln>
          <a:effectLst/>
        </c:spPr>
      </c:pivotFmt>
      <c:pivotFmt>
        <c:idx val="15"/>
        <c:spPr>
          <a:solidFill>
            <a:schemeClr val="accent5">
              <a:lumMod val="40000"/>
              <a:lumOff val="60000"/>
            </a:schemeClr>
          </a:solidFill>
          <a:ln w="0">
            <a:noFill/>
          </a:ln>
          <a:effectLst/>
        </c:spPr>
      </c:pivotFmt>
    </c:pivotFmts>
    <c:plotArea>
      <c:layout>
        <c:manualLayout>
          <c:layoutTarget val="inner"/>
          <c:xMode val="edge"/>
          <c:yMode val="edge"/>
          <c:x val="8.9399944321901306E-2"/>
          <c:y val="0.27239760113530609"/>
          <c:w val="0.82408530860610008"/>
          <c:h val="0.56741219362780249"/>
        </c:manualLayout>
      </c:layout>
      <c:barChart>
        <c:barDir val="col"/>
        <c:grouping val="clustered"/>
        <c:varyColors val="0"/>
        <c:ser>
          <c:idx val="0"/>
          <c:order val="0"/>
          <c:tx>
            <c:strRef>
              <c:f>PIVOT!$B$41:$B$42</c:f>
              <c:strCache>
                <c:ptCount val="1"/>
                <c:pt idx="0">
                  <c:v>No</c:v>
                </c:pt>
              </c:strCache>
            </c:strRef>
          </c:tx>
          <c:spPr>
            <a:solidFill>
              <a:schemeClr val="accent5">
                <a:lumMod val="40000"/>
                <a:lumOff val="60000"/>
              </a:schemeClr>
            </a:solidFill>
            <a:ln w="0">
              <a:noFill/>
            </a:ln>
            <a:effectLst/>
          </c:spPr>
          <c:invertIfNegative val="0"/>
          <c:dPt>
            <c:idx val="0"/>
            <c:invertIfNegative val="0"/>
            <c:bubble3D val="0"/>
            <c:spPr>
              <a:solidFill>
                <a:schemeClr val="accent5">
                  <a:lumMod val="40000"/>
                  <a:lumOff val="60000"/>
                </a:schemeClr>
              </a:solidFill>
              <a:ln w="0">
                <a:noFill/>
              </a:ln>
              <a:effectLst/>
            </c:spPr>
            <c:extLst>
              <c:ext xmlns:c16="http://schemas.microsoft.com/office/drawing/2014/chart" uri="{C3380CC4-5D6E-409C-BE32-E72D297353CC}">
                <c16:uniqueId val="{00000001-07BA-4C31-B84F-6CEC90BA549D}"/>
              </c:ext>
            </c:extLst>
          </c:dPt>
          <c:dPt>
            <c:idx val="1"/>
            <c:invertIfNegative val="0"/>
            <c:bubble3D val="0"/>
            <c:spPr>
              <a:solidFill>
                <a:schemeClr val="accent5">
                  <a:lumMod val="40000"/>
                  <a:lumOff val="60000"/>
                </a:schemeClr>
              </a:solidFill>
              <a:ln w="0">
                <a:noFill/>
              </a:ln>
              <a:effectLst/>
            </c:spPr>
            <c:extLst>
              <c:ext xmlns:c16="http://schemas.microsoft.com/office/drawing/2014/chart" uri="{C3380CC4-5D6E-409C-BE32-E72D297353CC}">
                <c16:uniqueId val="{00000003-07BA-4C31-B84F-6CEC90BA549D}"/>
              </c:ext>
            </c:extLst>
          </c:dPt>
          <c:dPt>
            <c:idx val="2"/>
            <c:invertIfNegative val="0"/>
            <c:bubble3D val="0"/>
            <c:spPr>
              <a:solidFill>
                <a:schemeClr val="accent5">
                  <a:lumMod val="40000"/>
                  <a:lumOff val="60000"/>
                </a:schemeClr>
              </a:solidFill>
              <a:ln w="0">
                <a:noFill/>
              </a:ln>
              <a:effectLst/>
            </c:spPr>
            <c:extLst>
              <c:ext xmlns:c16="http://schemas.microsoft.com/office/drawing/2014/chart" uri="{C3380CC4-5D6E-409C-BE32-E72D297353CC}">
                <c16:uniqueId val="{00000005-07BA-4C31-B84F-6CEC90BA549D}"/>
              </c:ext>
            </c:extLst>
          </c:dPt>
          <c:dPt>
            <c:idx val="3"/>
            <c:invertIfNegative val="0"/>
            <c:bubble3D val="0"/>
            <c:spPr>
              <a:solidFill>
                <a:schemeClr val="accent5">
                  <a:lumMod val="40000"/>
                  <a:lumOff val="60000"/>
                </a:schemeClr>
              </a:solidFill>
              <a:ln w="0">
                <a:noFill/>
              </a:ln>
              <a:effectLst/>
            </c:spPr>
            <c:extLst>
              <c:ext xmlns:c16="http://schemas.microsoft.com/office/drawing/2014/chart" uri="{C3380CC4-5D6E-409C-BE32-E72D297353CC}">
                <c16:uniqueId val="{00000007-07BA-4C31-B84F-6CEC90BA54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PIVOT!$A$43:$A$47</c:f>
              <c:strCache>
                <c:ptCount val="4"/>
                <c:pt idx="0">
                  <c:v>2021</c:v>
                </c:pt>
                <c:pt idx="1">
                  <c:v>2022</c:v>
                </c:pt>
                <c:pt idx="2">
                  <c:v>2023</c:v>
                </c:pt>
                <c:pt idx="3">
                  <c:v>2024</c:v>
                </c:pt>
              </c:strCache>
            </c:strRef>
          </c:cat>
          <c:val>
            <c:numRef>
              <c:f>PIVOT!$B$43:$B$47</c:f>
              <c:numCache>
                <c:formatCode>General</c:formatCode>
                <c:ptCount val="4"/>
                <c:pt idx="0">
                  <c:v>249</c:v>
                </c:pt>
                <c:pt idx="1">
                  <c:v>203</c:v>
                </c:pt>
                <c:pt idx="2">
                  <c:v>211</c:v>
                </c:pt>
                <c:pt idx="3">
                  <c:v>196</c:v>
                </c:pt>
              </c:numCache>
            </c:numRef>
          </c:val>
          <c:extLst>
            <c:ext xmlns:c16="http://schemas.microsoft.com/office/drawing/2014/chart" uri="{C3380CC4-5D6E-409C-BE32-E72D297353CC}">
              <c16:uniqueId val="{00000008-07BA-4C31-B84F-6CEC90BA549D}"/>
            </c:ext>
          </c:extLst>
        </c:ser>
        <c:ser>
          <c:idx val="1"/>
          <c:order val="1"/>
          <c:tx>
            <c:strRef>
              <c:f>PIVOT!$C$41:$C$42</c:f>
              <c:strCache>
                <c:ptCount val="1"/>
                <c:pt idx="0">
                  <c:v>Yes</c:v>
                </c:pt>
              </c:strCache>
            </c:strRef>
          </c:tx>
          <c:spPr>
            <a:solidFill>
              <a:schemeClr val="accent5">
                <a:lumMod val="75000"/>
              </a:schemeClr>
            </a:solidFill>
            <a:ln w="19050">
              <a:noFill/>
            </a:ln>
            <a:effectLst/>
          </c:spPr>
          <c:invertIfNegative val="0"/>
          <c:dPt>
            <c:idx val="0"/>
            <c:invertIfNegative val="0"/>
            <c:bubble3D val="0"/>
            <c:spPr>
              <a:solidFill>
                <a:schemeClr val="accent5">
                  <a:lumMod val="75000"/>
                </a:schemeClr>
              </a:solidFill>
              <a:ln w="19050">
                <a:noFill/>
              </a:ln>
              <a:effectLst/>
            </c:spPr>
            <c:extLst>
              <c:ext xmlns:c16="http://schemas.microsoft.com/office/drawing/2014/chart" uri="{C3380CC4-5D6E-409C-BE32-E72D297353CC}">
                <c16:uniqueId val="{00000009-9EA3-47E3-8FDE-230A11D912A9}"/>
              </c:ext>
            </c:extLst>
          </c:dPt>
          <c:dPt>
            <c:idx val="1"/>
            <c:invertIfNegative val="0"/>
            <c:bubble3D val="0"/>
            <c:spPr>
              <a:solidFill>
                <a:schemeClr val="accent5">
                  <a:lumMod val="75000"/>
                </a:schemeClr>
              </a:solidFill>
              <a:ln w="19050">
                <a:noFill/>
              </a:ln>
              <a:effectLst/>
            </c:spPr>
            <c:extLst>
              <c:ext xmlns:c16="http://schemas.microsoft.com/office/drawing/2014/chart" uri="{C3380CC4-5D6E-409C-BE32-E72D297353CC}">
                <c16:uniqueId val="{0000000B-9EA3-47E3-8FDE-230A11D912A9}"/>
              </c:ext>
            </c:extLst>
          </c:dPt>
          <c:dPt>
            <c:idx val="2"/>
            <c:invertIfNegative val="0"/>
            <c:bubble3D val="0"/>
            <c:spPr>
              <a:solidFill>
                <a:schemeClr val="accent5">
                  <a:lumMod val="75000"/>
                </a:schemeClr>
              </a:solidFill>
              <a:ln w="19050">
                <a:noFill/>
              </a:ln>
              <a:effectLst/>
            </c:spPr>
            <c:extLst>
              <c:ext xmlns:c16="http://schemas.microsoft.com/office/drawing/2014/chart" uri="{C3380CC4-5D6E-409C-BE32-E72D297353CC}">
                <c16:uniqueId val="{0000000D-9EA3-47E3-8FDE-230A11D912A9}"/>
              </c:ext>
            </c:extLst>
          </c:dPt>
          <c:dPt>
            <c:idx val="3"/>
            <c:invertIfNegative val="0"/>
            <c:bubble3D val="0"/>
            <c:spPr>
              <a:solidFill>
                <a:schemeClr val="accent5">
                  <a:lumMod val="75000"/>
                </a:schemeClr>
              </a:solidFill>
              <a:ln w="19050">
                <a:noFill/>
              </a:ln>
              <a:effectLst/>
            </c:spPr>
            <c:extLst>
              <c:ext xmlns:c16="http://schemas.microsoft.com/office/drawing/2014/chart" uri="{C3380CC4-5D6E-409C-BE32-E72D297353CC}">
                <c16:uniqueId val="{0000000F-9EA3-47E3-8FDE-230A11D912A9}"/>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PIVOT!$A$43:$A$47</c:f>
              <c:strCache>
                <c:ptCount val="4"/>
                <c:pt idx="0">
                  <c:v>2021</c:v>
                </c:pt>
                <c:pt idx="1">
                  <c:v>2022</c:v>
                </c:pt>
                <c:pt idx="2">
                  <c:v>2023</c:v>
                </c:pt>
                <c:pt idx="3">
                  <c:v>2024</c:v>
                </c:pt>
              </c:strCache>
            </c:strRef>
          </c:cat>
          <c:val>
            <c:numRef>
              <c:f>PIVOT!$C$43:$C$47</c:f>
              <c:numCache>
                <c:formatCode>General</c:formatCode>
                <c:ptCount val="4"/>
                <c:pt idx="0">
                  <c:v>35</c:v>
                </c:pt>
                <c:pt idx="1">
                  <c:v>44</c:v>
                </c:pt>
                <c:pt idx="2">
                  <c:v>28</c:v>
                </c:pt>
                <c:pt idx="3">
                  <c:v>34</c:v>
                </c:pt>
              </c:numCache>
            </c:numRef>
          </c:val>
          <c:extLst>
            <c:ext xmlns:c16="http://schemas.microsoft.com/office/drawing/2014/chart" uri="{C3380CC4-5D6E-409C-BE32-E72D297353CC}">
              <c16:uniqueId val="{00000014-409B-498A-8F84-C664B016FBD8}"/>
            </c:ext>
          </c:extLst>
        </c:ser>
        <c:dLbls>
          <c:showLegendKey val="0"/>
          <c:showVal val="0"/>
          <c:showCatName val="0"/>
          <c:showSerName val="0"/>
          <c:showPercent val="0"/>
          <c:showBubbleSize val="0"/>
        </c:dLbls>
        <c:gapWidth val="100"/>
        <c:axId val="606810384"/>
        <c:axId val="606798384"/>
      </c:barChart>
      <c:catAx>
        <c:axId val="606810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798384"/>
        <c:crosses val="autoZero"/>
        <c:auto val="1"/>
        <c:lblAlgn val="ctr"/>
        <c:lblOffset val="100"/>
        <c:noMultiLvlLbl val="0"/>
      </c:catAx>
      <c:valAx>
        <c:axId val="6067983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810384"/>
        <c:crosses val="autoZero"/>
        <c:crossBetween val="between"/>
      </c:valAx>
      <c:spPr>
        <a:noFill/>
        <a:ln>
          <a:noFill/>
        </a:ln>
        <a:effectLst/>
      </c:spPr>
    </c:plotArea>
    <c:legend>
      <c:legendPos val="t"/>
      <c:layout>
        <c:manualLayout>
          <c:xMode val="edge"/>
          <c:yMode val="edge"/>
          <c:x val="0.40649587873233722"/>
          <c:y val="0.14073059599606283"/>
          <c:w val="0.1878983986886299"/>
          <c:h val="7.687942659364752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[HR_Analytics_Dataset.xlsx]PIVOT!Average Salary by Department</c:name>
    <c:fmtId val="10"/>
  </c:pivotSource>
  <c:chart>
    <c:title>
      <c:tx>
        <c:rich>
          <a:bodyPr rot="0" spcFirstLastPara="1" vertOverflow="ellipsis" vert="horz" wrap="square" anchor="ctr" anchorCtr="1"/>
          <a:lstStyle/>
          <a:p>
            <a:pPr algn="ctr" rtl="0">
              <a:defRPr lang="en-US" sz="1600" b="0" i="0" u="none" strike="noStrike" kern="1200" cap="none" spc="0" normalizeH="0" baseline="0">
                <a:solidFill>
                  <a:sysClr val="windowText" lastClr="000000">
                    <a:lumMod val="65000"/>
                    <a:lumOff val="35000"/>
                  </a:sysClr>
                </a:solidFill>
                <a:latin typeface="+mj-lt"/>
                <a:ea typeface="+mj-ea"/>
                <a:cs typeface="+mj-cs"/>
              </a:defRPr>
            </a:pPr>
            <a:r>
              <a:rPr lang="en-US" sz="1600" b="0" i="0" u="none" strike="noStrike" kern="1200" cap="none" spc="0" normalizeH="0" baseline="0">
                <a:solidFill>
                  <a:sysClr val="windowText" lastClr="000000">
                    <a:lumMod val="65000"/>
                    <a:lumOff val="35000"/>
                  </a:sysClr>
                </a:solidFill>
                <a:latin typeface="+mj-lt"/>
                <a:ea typeface="+mj-ea"/>
                <a:cs typeface="+mj-cs"/>
              </a:rPr>
              <a:t>AVERAGE SALARY BY DEPARTMENT</a:t>
            </a:r>
          </a:p>
        </c:rich>
      </c:tx>
      <c:layout>
        <c:manualLayout>
          <c:xMode val="edge"/>
          <c:yMode val="edge"/>
          <c:x val="1.972712666063459E-2"/>
          <c:y val="2.7376376836544706E-2"/>
        </c:manualLayout>
      </c:layout>
      <c:overlay val="0"/>
      <c:spPr>
        <a:noFill/>
        <a:ln>
          <a:noFill/>
        </a:ln>
        <a:effectLst/>
      </c:spPr>
      <c:txPr>
        <a:bodyPr rot="0" spcFirstLastPara="1" vertOverflow="ellipsis" vert="horz" wrap="square" anchor="ctr" anchorCtr="1"/>
        <a:lstStyle/>
        <a:p>
          <a:pPr algn="ctr" rtl="0">
            <a:defRPr lang="en-US" sz="16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19353785856101"/>
          <c:y val="0.15998029594806915"/>
          <c:w val="0.77789185114561821"/>
          <c:h val="0.74290320378481345"/>
        </c:manualLayout>
      </c:layout>
      <c:barChart>
        <c:barDir val="bar"/>
        <c:grouping val="clustered"/>
        <c:varyColors val="0"/>
        <c:ser>
          <c:idx val="0"/>
          <c:order val="0"/>
          <c:tx>
            <c:strRef>
              <c:f>PIVOT!$B$17</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PIVOT!$A$18:$A$26</c:f>
              <c:strCache>
                <c:ptCount val="8"/>
                <c:pt idx="0">
                  <c:v>Customer Support</c:v>
                </c:pt>
                <c:pt idx="1">
                  <c:v>Engineering</c:v>
                </c:pt>
                <c:pt idx="2">
                  <c:v>Finance</c:v>
                </c:pt>
                <c:pt idx="3">
                  <c:v>HR</c:v>
                </c:pt>
                <c:pt idx="4">
                  <c:v>IT</c:v>
                </c:pt>
                <c:pt idx="5">
                  <c:v>Marketing</c:v>
                </c:pt>
                <c:pt idx="6">
                  <c:v>Operations</c:v>
                </c:pt>
                <c:pt idx="7">
                  <c:v>Sales</c:v>
                </c:pt>
              </c:strCache>
            </c:strRef>
          </c:cat>
          <c:val>
            <c:numRef>
              <c:f>PIVOT!$B$18:$B$26</c:f>
              <c:numCache>
                <c:formatCode>"₹"\ #,##0.00</c:formatCode>
                <c:ptCount val="8"/>
                <c:pt idx="0">
                  <c:v>50530.060240963852</c:v>
                </c:pt>
                <c:pt idx="1">
                  <c:v>105665.21428571429</c:v>
                </c:pt>
                <c:pt idx="2">
                  <c:v>84026.5</c:v>
                </c:pt>
                <c:pt idx="3">
                  <c:v>58117.512499999997</c:v>
                </c:pt>
                <c:pt idx="4">
                  <c:v>79815.912500000006</c:v>
                </c:pt>
                <c:pt idx="5">
                  <c:v>68366.588235294112</c:v>
                </c:pt>
                <c:pt idx="6">
                  <c:v>66116.608695652176</c:v>
                </c:pt>
                <c:pt idx="7">
                  <c:v>70911.966292134835</c:v>
                </c:pt>
              </c:numCache>
            </c:numRef>
          </c:val>
          <c:extLst>
            <c:ext xmlns:c16="http://schemas.microsoft.com/office/drawing/2014/chart" uri="{C3380CC4-5D6E-409C-BE32-E72D297353CC}">
              <c16:uniqueId val="{00000000-D873-41D4-8444-C4A1A72D403A}"/>
            </c:ext>
          </c:extLst>
        </c:ser>
        <c:dLbls>
          <c:dLblPos val="outEnd"/>
          <c:showLegendKey val="0"/>
          <c:showVal val="1"/>
          <c:showCatName val="0"/>
          <c:showSerName val="0"/>
          <c:showPercent val="0"/>
          <c:showBubbleSize val="0"/>
        </c:dLbls>
        <c:gapWidth val="269"/>
        <c:overlap val="-48"/>
        <c:axId val="1411313823"/>
        <c:axId val="1411316703"/>
      </c:barChart>
      <c:catAx>
        <c:axId val="141131382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11316703"/>
        <c:crosses val="autoZero"/>
        <c:auto val="1"/>
        <c:lblAlgn val="ctr"/>
        <c:lblOffset val="100"/>
        <c:noMultiLvlLbl val="0"/>
      </c:catAx>
      <c:valAx>
        <c:axId val="1411316703"/>
        <c:scaling>
          <c:orientation val="minMax"/>
        </c:scaling>
        <c:delete val="1"/>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Average salary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quot;₹&quot;\ #,##0.00" sourceLinked="1"/>
        <c:majorTickMark val="none"/>
        <c:minorTickMark val="none"/>
        <c:tickLblPos val="nextTo"/>
        <c:crossAx val="1411313823"/>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[HR_Analytics_Dataset.xlsx]PIVOT!Average Bonus by Department</c:name>
    <c:fmtId val="5"/>
  </c:pivotSource>
  <c:chart>
    <c:title>
      <c:tx>
        <c:rich>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mj-lt"/>
                <a:ea typeface="+mj-ea"/>
                <a:cs typeface="+mj-cs"/>
              </a:defRPr>
            </a:pPr>
            <a:r>
              <a:rPr lang="en-US" sz="1600"/>
              <a:t>AVERAGE BONUS BY DEPARTMENT</a:t>
            </a:r>
          </a:p>
        </c:rich>
      </c:tx>
      <c:layout>
        <c:manualLayout>
          <c:xMode val="edge"/>
          <c:yMode val="edge"/>
          <c:x val="2.8980046776031318E-2"/>
          <c:y val="4.2556125902452405E-2"/>
        </c:manualLayout>
      </c:layout>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1003478335241"/>
          <c:y val="0.16551647686762733"/>
          <c:w val="0.77779217159360015"/>
          <c:h val="0.71634973558543702"/>
        </c:manualLayout>
      </c:layout>
      <c:barChart>
        <c:barDir val="bar"/>
        <c:grouping val="clustered"/>
        <c:varyColors val="0"/>
        <c:ser>
          <c:idx val="0"/>
          <c:order val="0"/>
          <c:tx>
            <c:strRef>
              <c:f>PIVOT!$B$29</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PIVOT!$A$30:$A$38</c:f>
              <c:strCache>
                <c:ptCount val="8"/>
                <c:pt idx="0">
                  <c:v>Customer Support</c:v>
                </c:pt>
                <c:pt idx="1">
                  <c:v>Engineering</c:v>
                </c:pt>
                <c:pt idx="2">
                  <c:v>Finance</c:v>
                </c:pt>
                <c:pt idx="3">
                  <c:v>HR</c:v>
                </c:pt>
                <c:pt idx="4">
                  <c:v>IT</c:v>
                </c:pt>
                <c:pt idx="5">
                  <c:v>Marketing</c:v>
                </c:pt>
                <c:pt idx="6">
                  <c:v>Operations</c:v>
                </c:pt>
                <c:pt idx="7">
                  <c:v>Sales</c:v>
                </c:pt>
              </c:strCache>
            </c:strRef>
          </c:cat>
          <c:val>
            <c:numRef>
              <c:f>PIVOT!$B$30:$B$38</c:f>
              <c:numCache>
                <c:formatCode>"₹"\ #,##0.00</c:formatCode>
                <c:ptCount val="8"/>
                <c:pt idx="0">
                  <c:v>5572.2891566265062</c:v>
                </c:pt>
                <c:pt idx="1">
                  <c:v>11719.047619047618</c:v>
                </c:pt>
                <c:pt idx="2">
                  <c:v>9249.0909090909099</c:v>
                </c:pt>
                <c:pt idx="3">
                  <c:v>6877.5</c:v>
                </c:pt>
                <c:pt idx="4">
                  <c:v>9756.25</c:v>
                </c:pt>
                <c:pt idx="5">
                  <c:v>8033.333333333333</c:v>
                </c:pt>
                <c:pt idx="6">
                  <c:v>7379.130434782609</c:v>
                </c:pt>
                <c:pt idx="7">
                  <c:v>8687.0786516853932</c:v>
                </c:pt>
              </c:numCache>
            </c:numRef>
          </c:val>
          <c:extLst>
            <c:ext xmlns:c16="http://schemas.microsoft.com/office/drawing/2014/chart" uri="{C3380CC4-5D6E-409C-BE32-E72D297353CC}">
              <c16:uniqueId val="{00000000-8795-4769-A535-35B62BAC0E07}"/>
            </c:ext>
          </c:extLst>
        </c:ser>
        <c:dLbls>
          <c:dLblPos val="outEnd"/>
          <c:showLegendKey val="0"/>
          <c:showVal val="1"/>
          <c:showCatName val="0"/>
          <c:showSerName val="0"/>
          <c:showPercent val="0"/>
          <c:showBubbleSize val="0"/>
        </c:dLbls>
        <c:gapWidth val="269"/>
        <c:overlap val="-48"/>
        <c:axId val="1411310079"/>
        <c:axId val="1338509887"/>
      </c:barChart>
      <c:catAx>
        <c:axId val="141131007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38509887"/>
        <c:crosses val="autoZero"/>
        <c:auto val="1"/>
        <c:lblAlgn val="ctr"/>
        <c:lblOffset val="100"/>
        <c:noMultiLvlLbl val="0"/>
      </c:catAx>
      <c:valAx>
        <c:axId val="1338509887"/>
        <c:scaling>
          <c:orientation val="minMax"/>
        </c:scaling>
        <c:delete val="1"/>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Average bonus</a:t>
                </a:r>
              </a:p>
            </c:rich>
          </c:tx>
          <c:layout>
            <c:manualLayout>
              <c:xMode val="edge"/>
              <c:yMode val="edge"/>
              <c:x val="0.50541658520192856"/>
              <c:y val="0.89567802432669563"/>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crossAx val="141131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[HR_Analytics_Dataset.xlsx]PIVOT!Employees by Department</c:name>
    <c:fmtId val="5"/>
  </c:pivotSource>
  <c:chart>
    <c:title>
      <c:tx>
        <c:rich>
          <a:bodyPr rot="0" spcFirstLastPara="1" vertOverflow="ellipsis" vert="horz" wrap="square" anchor="ctr" anchorCtr="1"/>
          <a:lstStyle/>
          <a:p>
            <a:pPr algn="ctr" rtl="0">
              <a:defRPr lang="en-US" sz="1600" b="0" i="0" u="none" strike="noStrike" kern="1200" cap="none" spc="0" normalizeH="0" baseline="0">
                <a:solidFill>
                  <a:sysClr val="windowText" lastClr="000000">
                    <a:lumMod val="65000"/>
                    <a:lumOff val="35000"/>
                  </a:sysClr>
                </a:solidFill>
                <a:latin typeface="+mj-lt"/>
                <a:ea typeface="+mj-ea"/>
                <a:cs typeface="+mj-cs"/>
              </a:defRPr>
            </a:pPr>
            <a:r>
              <a:rPr lang="en-US" sz="1600" b="0" i="0" u="none" strike="noStrike" kern="1200" cap="none" spc="0" normalizeH="0" baseline="0">
                <a:solidFill>
                  <a:sysClr val="windowText" lastClr="000000">
                    <a:lumMod val="65000"/>
                    <a:lumOff val="35000"/>
                  </a:sysClr>
                </a:solidFill>
                <a:latin typeface="+mj-lt"/>
                <a:ea typeface="+mj-ea"/>
                <a:cs typeface="+mj-cs"/>
              </a:rPr>
              <a:t>EMPLOYEE DISTRIBUTION BY DEPARTMENT</a:t>
            </a:r>
          </a:p>
        </c:rich>
      </c:tx>
      <c:layout>
        <c:manualLayout>
          <c:xMode val="edge"/>
          <c:yMode val="edge"/>
          <c:x val="3.2142323832839791E-2"/>
          <c:y val="2.7607785395481525E-2"/>
        </c:manualLayout>
      </c:layout>
      <c:overlay val="0"/>
      <c:spPr>
        <a:noFill/>
        <a:ln>
          <a:noFill/>
        </a:ln>
        <a:effectLst/>
      </c:spPr>
      <c:txPr>
        <a:bodyPr rot="0" spcFirstLastPara="1" vertOverflow="ellipsis" vert="horz" wrap="square" anchor="ctr" anchorCtr="1"/>
        <a:lstStyle/>
        <a:p>
          <a:pPr algn="ctr" rtl="0">
            <a:defRPr lang="en-US" sz="16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095214674595221E-2"/>
          <c:y val="0.12274589021213035"/>
          <c:w val="0.90794377382382574"/>
          <c:h val="0.66231782033660658"/>
        </c:manualLayout>
      </c:layout>
      <c:barChart>
        <c:barDir val="col"/>
        <c:grouping val="clustered"/>
        <c:varyColors val="0"/>
        <c:ser>
          <c:idx val="0"/>
          <c:order val="0"/>
          <c:tx>
            <c:strRef>
              <c:f>PIVOT!$B$3</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PIVOT!$A$4:$A$12</c:f>
              <c:strCache>
                <c:ptCount val="8"/>
                <c:pt idx="0">
                  <c:v>Customer Support</c:v>
                </c:pt>
                <c:pt idx="1">
                  <c:v>Engineering</c:v>
                </c:pt>
                <c:pt idx="2">
                  <c:v>Finance</c:v>
                </c:pt>
                <c:pt idx="3">
                  <c:v>HR</c:v>
                </c:pt>
                <c:pt idx="4">
                  <c:v>IT</c:v>
                </c:pt>
                <c:pt idx="5">
                  <c:v>Marketing</c:v>
                </c:pt>
                <c:pt idx="6">
                  <c:v>Operations</c:v>
                </c:pt>
                <c:pt idx="7">
                  <c:v>Sales</c:v>
                </c:pt>
              </c:strCache>
            </c:strRef>
          </c:cat>
          <c:val>
            <c:numRef>
              <c:f>PIVOT!$B$4:$B$12</c:f>
              <c:numCache>
                <c:formatCode>General</c:formatCode>
                <c:ptCount val="8"/>
                <c:pt idx="0">
                  <c:v>83</c:v>
                </c:pt>
                <c:pt idx="1">
                  <c:v>252</c:v>
                </c:pt>
                <c:pt idx="2">
                  <c:v>110</c:v>
                </c:pt>
                <c:pt idx="3">
                  <c:v>80</c:v>
                </c:pt>
                <c:pt idx="4">
                  <c:v>80</c:v>
                </c:pt>
                <c:pt idx="5">
                  <c:v>102</c:v>
                </c:pt>
                <c:pt idx="6">
                  <c:v>115</c:v>
                </c:pt>
                <c:pt idx="7">
                  <c:v>178</c:v>
                </c:pt>
              </c:numCache>
            </c:numRef>
          </c:val>
          <c:extLst>
            <c:ext xmlns:c16="http://schemas.microsoft.com/office/drawing/2014/chart" uri="{C3380CC4-5D6E-409C-BE32-E72D297353CC}">
              <c16:uniqueId val="{00000000-B71F-41C7-BE13-75EE30671D68}"/>
            </c:ext>
          </c:extLst>
        </c:ser>
        <c:dLbls>
          <c:dLblPos val="outEnd"/>
          <c:showLegendKey val="0"/>
          <c:showVal val="1"/>
          <c:showCatName val="0"/>
          <c:showSerName val="0"/>
          <c:showPercent val="0"/>
          <c:showBubbleSize val="0"/>
        </c:dLbls>
        <c:gapWidth val="219"/>
        <c:overlap val="-27"/>
        <c:axId val="598638335"/>
        <c:axId val="598644575"/>
      </c:barChart>
      <c:catAx>
        <c:axId val="598638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50000"/>
                    <a:lumOff val="50000"/>
                  </a:schemeClr>
                </a:solidFill>
                <a:latin typeface="+mn-lt"/>
                <a:ea typeface="+mn-ea"/>
                <a:cs typeface="+mn-cs"/>
              </a:defRPr>
            </a:pPr>
            <a:endParaRPr lang="en-US"/>
          </a:p>
        </c:txPr>
        <c:crossAx val="598644575"/>
        <c:crosses val="autoZero"/>
        <c:auto val="1"/>
        <c:lblAlgn val="ctr"/>
        <c:lblOffset val="100"/>
        <c:noMultiLvlLbl val="0"/>
      </c:catAx>
      <c:valAx>
        <c:axId val="59864457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employee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59863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45</xdr:col>
      <xdr:colOff>457202</xdr:colOff>
      <xdr:row>4</xdr:row>
      <xdr:rowOff>96676</xdr:rowOff>
    </xdr:from>
    <xdr:to>
      <xdr:col>82</xdr:col>
      <xdr:colOff>508001</xdr:colOff>
      <xdr:row>14</xdr:row>
      <xdr:rowOff>68454</xdr:rowOff>
    </xdr:to>
    <xdr:sp macro="" textlink="">
      <xdr:nvSpPr>
        <xdr:cNvPr id="7" name="Rectangle: Rounded Corners 6">
          <a:extLst>
            <a:ext uri="{FF2B5EF4-FFF2-40B4-BE49-F238E27FC236}">
              <a16:creationId xmlns:a16="http://schemas.microsoft.com/office/drawing/2014/main" id="{381A4455-6E16-82C3-9ACE-527F8C051558}"/>
            </a:ext>
          </a:extLst>
        </xdr:cNvPr>
        <xdr:cNvSpPr/>
      </xdr:nvSpPr>
      <xdr:spPr>
        <a:xfrm>
          <a:off x="28215773" y="822390"/>
          <a:ext cx="22874514" cy="1786064"/>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200" b="1">
              <a:solidFill>
                <a:schemeClr val="accent5">
                  <a:lumMod val="75000"/>
                </a:schemeClr>
              </a:solidFill>
            </a:rPr>
            <a:t>HR Analytics Dasboard</a:t>
          </a:r>
        </a:p>
      </xdr:txBody>
    </xdr:sp>
    <xdr:clientData/>
  </xdr:twoCellAnchor>
  <xdr:twoCellAnchor editAs="oneCell">
    <xdr:from>
      <xdr:col>45</xdr:col>
      <xdr:colOff>508675</xdr:colOff>
      <xdr:row>44</xdr:row>
      <xdr:rowOff>178871</xdr:rowOff>
    </xdr:from>
    <xdr:to>
      <xdr:col>50</xdr:col>
      <xdr:colOff>470464</xdr:colOff>
      <xdr:row>57</xdr:row>
      <xdr:rowOff>114237</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E31637E3-FABE-439C-99E6-DBA9C3332F1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940675" y="7842414"/>
              <a:ext cx="3009789" cy="2199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505625</xdr:colOff>
      <xdr:row>15</xdr:row>
      <xdr:rowOff>71150</xdr:rowOff>
    </xdr:from>
    <xdr:to>
      <xdr:col>50</xdr:col>
      <xdr:colOff>466625</xdr:colOff>
      <xdr:row>44</xdr:row>
      <xdr:rowOff>170330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6A311026-76A4-4B54-A32F-BFE4A2F41ED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8158851" y="2652118"/>
              <a:ext cx="3033580" cy="5089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512491</xdr:colOff>
      <xdr:row>57</xdr:row>
      <xdr:rowOff>135045</xdr:rowOff>
    </xdr:from>
    <xdr:to>
      <xdr:col>50</xdr:col>
      <xdr:colOff>472504</xdr:colOff>
      <xdr:row>71</xdr:row>
      <xdr:rowOff>45080</xdr:rowOff>
    </xdr:to>
    <mc:AlternateContent xmlns:mc="http://schemas.openxmlformats.org/markup-compatibility/2006" xmlns:a14="http://schemas.microsoft.com/office/drawing/2010/main">
      <mc:Choice Requires="a14">
        <xdr:graphicFrame macro="">
          <xdr:nvGraphicFramePr>
            <xdr:cNvPr id="4" name="Employment_Type">
              <a:extLst>
                <a:ext uri="{FF2B5EF4-FFF2-40B4-BE49-F238E27FC236}">
                  <a16:creationId xmlns:a16="http://schemas.microsoft.com/office/drawing/2014/main" id="{834201B5-986D-4DD6-94E7-15F33AEBECF3}"/>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mlns="">
        <xdr:sp macro="" textlink="">
          <xdr:nvSpPr>
            <xdr:cNvPr id="0" name=""/>
            <xdr:cNvSpPr>
              <a:spLocks noTextEdit="1"/>
            </xdr:cNvSpPr>
          </xdr:nvSpPr>
          <xdr:spPr>
            <a:xfrm>
              <a:off x="28165717" y="9942722"/>
              <a:ext cx="3032593" cy="2318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76</xdr:col>
      <xdr:colOff>58616</xdr:colOff>
      <xdr:row>6</xdr:row>
      <xdr:rowOff>93315</xdr:rowOff>
    </xdr:from>
    <xdr:to>
      <xdr:col>82</xdr:col>
      <xdr:colOff>367022</xdr:colOff>
      <xdr:row>12</xdr:row>
      <xdr:rowOff>138113</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9BAC87BC-6080-497A-8770-55A28378265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761842" y="1125702"/>
              <a:ext cx="3995503" cy="1077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510301</xdr:colOff>
      <xdr:row>71</xdr:row>
      <xdr:rowOff>61554</xdr:rowOff>
    </xdr:from>
    <xdr:to>
      <xdr:col>50</xdr:col>
      <xdr:colOff>467228</xdr:colOff>
      <xdr:row>81</xdr:row>
      <xdr:rowOff>99551</xdr:rowOff>
    </xdr:to>
    <mc:AlternateContent xmlns:mc="http://schemas.openxmlformats.org/markup-compatibility/2006" xmlns:a14="http://schemas.microsoft.com/office/drawing/2010/main">
      <mc:Choice Requires="a14">
        <xdr:graphicFrame macro="">
          <xdr:nvGraphicFramePr>
            <xdr:cNvPr id="6" name="Attrition">
              <a:extLst>
                <a:ext uri="{FF2B5EF4-FFF2-40B4-BE49-F238E27FC236}">
                  <a16:creationId xmlns:a16="http://schemas.microsoft.com/office/drawing/2014/main" id="{84F53034-270C-49EC-9D30-FD06B99D0404}"/>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28163527" y="12278135"/>
              <a:ext cx="3029507" cy="1758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75</xdr:col>
      <xdr:colOff>79593</xdr:colOff>
      <xdr:row>45</xdr:row>
      <xdr:rowOff>133684</xdr:rowOff>
    </xdr:from>
    <xdr:to>
      <xdr:col>82</xdr:col>
      <xdr:colOff>519432</xdr:colOff>
      <xdr:row>66</xdr:row>
      <xdr:rowOff>1</xdr:rowOff>
    </xdr:to>
    <xdr:graphicFrame macro="">
      <xdr:nvGraphicFramePr>
        <xdr:cNvPr id="9" name="Chart 8">
          <a:extLst>
            <a:ext uri="{FF2B5EF4-FFF2-40B4-BE49-F238E27FC236}">
              <a16:creationId xmlns:a16="http://schemas.microsoft.com/office/drawing/2014/main" id="{4A456C48-D1C1-41BA-9231-B72283882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63</xdr:col>
      <xdr:colOff>159688</xdr:colOff>
      <xdr:row>25</xdr:row>
      <xdr:rowOff>112857</xdr:rowOff>
    </xdr:from>
    <xdr:to>
      <xdr:col>74</xdr:col>
      <xdr:colOff>582082</xdr:colOff>
      <xdr:row>44</xdr:row>
      <xdr:rowOff>154782</xdr:rowOff>
    </xdr:to>
    <xdr:graphicFrame macro="">
      <xdr:nvGraphicFramePr>
        <xdr:cNvPr id="10" name="Chart 9">
          <a:extLst>
            <a:ext uri="{FF2B5EF4-FFF2-40B4-BE49-F238E27FC236}">
              <a16:creationId xmlns:a16="http://schemas.microsoft.com/office/drawing/2014/main" id="{BECFA040-2D8D-4FEF-9BD2-9F23AFBFF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51</xdr:col>
      <xdr:colOff>51180</xdr:colOff>
      <xdr:row>66</xdr:row>
      <xdr:rowOff>143631</xdr:rowOff>
    </xdr:from>
    <xdr:to>
      <xdr:col>62</xdr:col>
      <xdr:colOff>562708</xdr:colOff>
      <xdr:row>81</xdr:row>
      <xdr:rowOff>102011</xdr:rowOff>
    </xdr:to>
    <xdr:graphicFrame macro="">
      <xdr:nvGraphicFramePr>
        <xdr:cNvPr id="12" name="Chart 11">
          <a:extLst>
            <a:ext uri="{FF2B5EF4-FFF2-40B4-BE49-F238E27FC236}">
              <a16:creationId xmlns:a16="http://schemas.microsoft.com/office/drawing/2014/main" id="{BD861F16-FC72-4BCC-912C-A2C8AAA2F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75</xdr:col>
      <xdr:colOff>90967</xdr:colOff>
      <xdr:row>66</xdr:row>
      <xdr:rowOff>145999</xdr:rowOff>
    </xdr:from>
    <xdr:to>
      <xdr:col>82</xdr:col>
      <xdr:colOff>547072</xdr:colOff>
      <xdr:row>81</xdr:row>
      <xdr:rowOff>149985</xdr:rowOff>
    </xdr:to>
    <xdr:graphicFrame macro="">
      <xdr:nvGraphicFramePr>
        <xdr:cNvPr id="13" name="Chart 12">
          <a:extLst>
            <a:ext uri="{FF2B5EF4-FFF2-40B4-BE49-F238E27FC236}">
              <a16:creationId xmlns:a16="http://schemas.microsoft.com/office/drawing/2014/main" id="{AE8305FC-FB6F-4B96-A7DA-A0BD40C4D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63</xdr:col>
      <xdr:colOff>66944</xdr:colOff>
      <xdr:row>66</xdr:row>
      <xdr:rowOff>169688</xdr:rowOff>
    </xdr:from>
    <xdr:to>
      <xdr:col>75</xdr:col>
      <xdr:colOff>8651</xdr:colOff>
      <xdr:row>81</xdr:row>
      <xdr:rowOff>149690</xdr:rowOff>
    </xdr:to>
    <xdr:graphicFrame macro="">
      <xdr:nvGraphicFramePr>
        <xdr:cNvPr id="15" name="Chart 14">
          <a:extLst>
            <a:ext uri="{FF2B5EF4-FFF2-40B4-BE49-F238E27FC236}">
              <a16:creationId xmlns:a16="http://schemas.microsoft.com/office/drawing/2014/main" id="{2A9F3F10-E3F3-420E-B1D7-05128B351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75</xdr:col>
      <xdr:colOff>122874</xdr:colOff>
      <xdr:row>25</xdr:row>
      <xdr:rowOff>96371</xdr:rowOff>
    </xdr:from>
    <xdr:to>
      <xdr:col>82</xdr:col>
      <xdr:colOff>475575</xdr:colOff>
      <xdr:row>45</xdr:row>
      <xdr:rowOff>0</xdr:rowOff>
    </xdr:to>
    <xdr:graphicFrame macro="">
      <xdr:nvGraphicFramePr>
        <xdr:cNvPr id="16" name="Chart 15">
          <a:extLst>
            <a:ext uri="{FF2B5EF4-FFF2-40B4-BE49-F238E27FC236}">
              <a16:creationId xmlns:a16="http://schemas.microsoft.com/office/drawing/2014/main" id="{27BF135F-840B-4634-B98F-C3AD9933E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51</xdr:col>
      <xdr:colOff>36764</xdr:colOff>
      <xdr:row>45</xdr:row>
      <xdr:rowOff>50735</xdr:rowOff>
    </xdr:from>
    <xdr:to>
      <xdr:col>63</xdr:col>
      <xdr:colOff>25830</xdr:colOff>
      <xdr:row>65</xdr:row>
      <xdr:rowOff>139937</xdr:rowOff>
    </xdr:to>
    <xdr:graphicFrame macro="">
      <xdr:nvGraphicFramePr>
        <xdr:cNvPr id="17" name="Chart 16">
          <a:extLst>
            <a:ext uri="{FF2B5EF4-FFF2-40B4-BE49-F238E27FC236}">
              <a16:creationId xmlns:a16="http://schemas.microsoft.com/office/drawing/2014/main" id="{FC96A0B4-C88D-4A48-99FD-4C4AB224B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63</xdr:col>
      <xdr:colOff>128976</xdr:colOff>
      <xdr:row>45</xdr:row>
      <xdr:rowOff>118708</xdr:rowOff>
    </xdr:from>
    <xdr:to>
      <xdr:col>75</xdr:col>
      <xdr:colOff>1</xdr:colOff>
      <xdr:row>66</xdr:row>
      <xdr:rowOff>20972</xdr:rowOff>
    </xdr:to>
    <xdr:graphicFrame macro="">
      <xdr:nvGraphicFramePr>
        <xdr:cNvPr id="18" name="Chart 17">
          <a:extLst>
            <a:ext uri="{FF2B5EF4-FFF2-40B4-BE49-F238E27FC236}">
              <a16:creationId xmlns:a16="http://schemas.microsoft.com/office/drawing/2014/main" id="{A7AFD7CC-01BC-44ED-92BA-961BFD64A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51</xdr:col>
      <xdr:colOff>29308</xdr:colOff>
      <xdr:row>25</xdr:row>
      <xdr:rowOff>112836</xdr:rowOff>
    </xdr:from>
    <xdr:to>
      <xdr:col>63</xdr:col>
      <xdr:colOff>10360</xdr:colOff>
      <xdr:row>44</xdr:row>
      <xdr:rowOff>127000</xdr:rowOff>
    </xdr:to>
    <xdr:graphicFrame macro="">
      <xdr:nvGraphicFramePr>
        <xdr:cNvPr id="19" name="Chart 18">
          <a:extLst>
            <a:ext uri="{FF2B5EF4-FFF2-40B4-BE49-F238E27FC236}">
              <a16:creationId xmlns:a16="http://schemas.microsoft.com/office/drawing/2014/main" id="{B4806CD0-761F-45B8-A589-2C069F618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50</xdr:col>
      <xdr:colOff>571500</xdr:colOff>
      <xdr:row>15</xdr:row>
      <xdr:rowOff>57150</xdr:rowOff>
    </xdr:from>
    <xdr:to>
      <xdr:col>56</xdr:col>
      <xdr:colOff>556430</xdr:colOff>
      <xdr:row>24</xdr:row>
      <xdr:rowOff>114300</xdr:rowOff>
    </xdr:to>
    <xdr:sp macro="" textlink="">
      <xdr:nvSpPr>
        <xdr:cNvPr id="8" name="Rectangle: Rounded Corners 7">
          <a:extLst>
            <a:ext uri="{FF2B5EF4-FFF2-40B4-BE49-F238E27FC236}">
              <a16:creationId xmlns:a16="http://schemas.microsoft.com/office/drawing/2014/main" id="{0E4EDC40-0FF4-6614-6843-AB487106645D}"/>
            </a:ext>
          </a:extLst>
        </xdr:cNvPr>
        <xdr:cNvSpPr/>
      </xdr:nvSpPr>
      <xdr:spPr>
        <a:xfrm>
          <a:off x="30697081" y="1652034"/>
          <a:ext cx="3600000" cy="1652033"/>
        </a:xfrm>
        <a:prstGeom prst="roundRect">
          <a:avLst/>
        </a:prstGeom>
        <a:solidFill>
          <a:schemeClr val="bg1"/>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Total Employee</a:t>
          </a:r>
        </a:p>
      </xdr:txBody>
    </xdr:sp>
    <xdr:clientData/>
  </xdr:twoCellAnchor>
  <xdr:twoCellAnchor>
    <xdr:from>
      <xdr:col>57</xdr:col>
      <xdr:colOff>234950</xdr:colOff>
      <xdr:row>15</xdr:row>
      <xdr:rowOff>47625</xdr:rowOff>
    </xdr:from>
    <xdr:to>
      <xdr:col>63</xdr:col>
      <xdr:colOff>219880</xdr:colOff>
      <xdr:row>24</xdr:row>
      <xdr:rowOff>104775</xdr:rowOff>
    </xdr:to>
    <xdr:sp macro="" textlink="">
      <xdr:nvSpPr>
        <xdr:cNvPr id="11" name="Rectangle: Rounded Corners 10">
          <a:extLst>
            <a:ext uri="{FF2B5EF4-FFF2-40B4-BE49-F238E27FC236}">
              <a16:creationId xmlns:a16="http://schemas.microsoft.com/office/drawing/2014/main" id="{A3D11887-CDDD-4691-8573-FB2C3ABEAF51}"/>
            </a:ext>
          </a:extLst>
        </xdr:cNvPr>
        <xdr:cNvSpPr/>
      </xdr:nvSpPr>
      <xdr:spPr>
        <a:xfrm>
          <a:off x="34578113" y="1642509"/>
          <a:ext cx="3600000" cy="1652033"/>
        </a:xfrm>
        <a:prstGeom prst="roundRect">
          <a:avLst/>
        </a:prstGeom>
        <a:solidFill>
          <a:schemeClr val="bg1"/>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Attrition Rate %</a:t>
          </a:r>
        </a:p>
      </xdr:txBody>
    </xdr:sp>
    <xdr:clientData/>
  </xdr:twoCellAnchor>
  <xdr:twoCellAnchor>
    <xdr:from>
      <xdr:col>63</xdr:col>
      <xdr:colOff>527049</xdr:colOff>
      <xdr:row>15</xdr:row>
      <xdr:rowOff>0</xdr:rowOff>
    </xdr:from>
    <xdr:to>
      <xdr:col>69</xdr:col>
      <xdr:colOff>511980</xdr:colOff>
      <xdr:row>24</xdr:row>
      <xdr:rowOff>57150</xdr:rowOff>
    </xdr:to>
    <xdr:sp macro="" textlink="">
      <xdr:nvSpPr>
        <xdr:cNvPr id="14" name="Rectangle: Rounded Corners 13">
          <a:extLst>
            <a:ext uri="{FF2B5EF4-FFF2-40B4-BE49-F238E27FC236}">
              <a16:creationId xmlns:a16="http://schemas.microsoft.com/office/drawing/2014/main" id="{E643A0F7-0264-405E-953B-F487561CBDD4}"/>
            </a:ext>
          </a:extLst>
        </xdr:cNvPr>
        <xdr:cNvSpPr/>
      </xdr:nvSpPr>
      <xdr:spPr>
        <a:xfrm>
          <a:off x="38485282" y="1594884"/>
          <a:ext cx="3600000" cy="1652033"/>
        </a:xfrm>
        <a:prstGeom prst="roundRect">
          <a:avLst/>
        </a:prstGeom>
        <a:solidFill>
          <a:schemeClr val="bg1"/>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i="0" u="none" strike="noStrike">
              <a:solidFill>
                <a:schemeClr val="tx1"/>
              </a:solidFill>
              <a:effectLst/>
              <a:latin typeface="+mn-lt"/>
              <a:ea typeface="+mn-ea"/>
              <a:cs typeface="+mn-cs"/>
            </a:rPr>
            <a:t>Active Employees</a:t>
          </a:r>
          <a:r>
            <a:rPr lang="en-IN" sz="2400" b="1">
              <a:solidFill>
                <a:schemeClr val="tx1"/>
              </a:solidFill>
              <a:effectLst/>
            </a:rPr>
            <a:t> </a:t>
          </a:r>
          <a:endParaRPr lang="en-IN" sz="2400" b="1">
            <a:solidFill>
              <a:schemeClr val="tx1"/>
            </a:solidFill>
          </a:endParaRPr>
        </a:p>
      </xdr:txBody>
    </xdr:sp>
    <xdr:clientData/>
  </xdr:twoCellAnchor>
  <xdr:twoCellAnchor>
    <xdr:from>
      <xdr:col>70</xdr:col>
      <xdr:colOff>149225</xdr:colOff>
      <xdr:row>15</xdr:row>
      <xdr:rowOff>10750</xdr:rowOff>
    </xdr:from>
    <xdr:to>
      <xdr:col>76</xdr:col>
      <xdr:colOff>134155</xdr:colOff>
      <xdr:row>24</xdr:row>
      <xdr:rowOff>54610</xdr:rowOff>
    </xdr:to>
    <xdr:sp macro="" textlink="">
      <xdr:nvSpPr>
        <xdr:cNvPr id="20" name="Rectangle: Rounded Corners 19">
          <a:extLst>
            <a:ext uri="{FF2B5EF4-FFF2-40B4-BE49-F238E27FC236}">
              <a16:creationId xmlns:a16="http://schemas.microsoft.com/office/drawing/2014/main" id="{11710669-80E5-4354-93AF-A1E22F87F1FC}"/>
            </a:ext>
          </a:extLst>
        </xdr:cNvPr>
        <xdr:cNvSpPr/>
      </xdr:nvSpPr>
      <xdr:spPr>
        <a:xfrm>
          <a:off x="42821225" y="2753950"/>
          <a:ext cx="3642530" cy="1689780"/>
        </a:xfrm>
        <a:prstGeom prst="roundRect">
          <a:avLst/>
        </a:prstGeom>
        <a:solidFill>
          <a:schemeClr val="bg1"/>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i="0" u="none" strike="noStrike">
              <a:solidFill>
                <a:schemeClr val="tx1"/>
              </a:solidFill>
              <a:effectLst/>
              <a:latin typeface="+mn-lt"/>
              <a:ea typeface="+mn-ea"/>
              <a:cs typeface="+mn-cs"/>
            </a:rPr>
            <a:t>Employees Left</a:t>
          </a:r>
          <a:r>
            <a:rPr lang="en-IN" sz="2400" b="1">
              <a:solidFill>
                <a:schemeClr val="tx1"/>
              </a:solidFill>
              <a:effectLst/>
            </a:rPr>
            <a:t> </a:t>
          </a:r>
          <a:endParaRPr lang="en-IN" sz="2400" b="1">
            <a:solidFill>
              <a:schemeClr val="tx1"/>
            </a:solidFill>
          </a:endParaRPr>
        </a:p>
      </xdr:txBody>
    </xdr:sp>
    <xdr:clientData/>
  </xdr:twoCellAnchor>
  <xdr:twoCellAnchor>
    <xdr:from>
      <xdr:col>76</xdr:col>
      <xdr:colOff>470420</xdr:colOff>
      <xdr:row>15</xdr:row>
      <xdr:rowOff>13112</xdr:rowOff>
    </xdr:from>
    <xdr:to>
      <xdr:col>82</xdr:col>
      <xdr:colOff>455351</xdr:colOff>
      <xdr:row>24</xdr:row>
      <xdr:rowOff>57892</xdr:rowOff>
    </xdr:to>
    <xdr:sp macro="" textlink="">
      <xdr:nvSpPr>
        <xdr:cNvPr id="21" name="Rectangle: Rounded Corners 20">
          <a:extLst>
            <a:ext uri="{FF2B5EF4-FFF2-40B4-BE49-F238E27FC236}">
              <a16:creationId xmlns:a16="http://schemas.microsoft.com/office/drawing/2014/main" id="{23E909A5-E906-4E7B-9B1A-2494AE599357}"/>
            </a:ext>
          </a:extLst>
        </xdr:cNvPr>
        <xdr:cNvSpPr/>
      </xdr:nvSpPr>
      <xdr:spPr>
        <a:xfrm>
          <a:off x="46190420" y="2720217"/>
          <a:ext cx="3594405" cy="1669043"/>
        </a:xfrm>
        <a:prstGeom prst="roundRect">
          <a:avLst/>
        </a:prstGeom>
        <a:solidFill>
          <a:schemeClr val="bg1"/>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Average Salary</a:t>
          </a:r>
        </a:p>
      </xdr:txBody>
    </xdr:sp>
    <xdr:clientData/>
  </xdr:twoCellAnchor>
  <xdr:twoCellAnchor>
    <xdr:from>
      <xdr:col>51</xdr:col>
      <xdr:colOff>194930</xdr:colOff>
      <xdr:row>19</xdr:row>
      <xdr:rowOff>1</xdr:rowOff>
    </xdr:from>
    <xdr:to>
      <xdr:col>56</xdr:col>
      <xdr:colOff>301256</xdr:colOff>
      <xdr:row>23</xdr:row>
      <xdr:rowOff>17722</xdr:rowOff>
    </xdr:to>
    <xdr:sp macro="" textlink="PIVOT!H30">
      <xdr:nvSpPr>
        <xdr:cNvPr id="22" name="TextBox 21">
          <a:extLst>
            <a:ext uri="{FF2B5EF4-FFF2-40B4-BE49-F238E27FC236}">
              <a16:creationId xmlns:a16="http://schemas.microsoft.com/office/drawing/2014/main" id="{F213893E-3B4A-F1F9-69CA-F2BE1BE22CFD}"/>
            </a:ext>
          </a:extLst>
        </xdr:cNvPr>
        <xdr:cNvSpPr txBox="1"/>
      </xdr:nvSpPr>
      <xdr:spPr>
        <a:xfrm>
          <a:off x="31500430" y="3619501"/>
          <a:ext cx="3175493" cy="7797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29C9254-869F-47D4-8CFF-C4405A34C919}" type="TxLink">
            <a:rPr lang="en-US" sz="4400" b="1" i="0" u="none" strike="noStrike">
              <a:solidFill>
                <a:srgbClr val="000000"/>
              </a:solidFill>
              <a:latin typeface="Calibri"/>
              <a:ea typeface="Calibri"/>
              <a:cs typeface="Calibri"/>
            </a:rPr>
            <a:pPr marL="0" indent="0"/>
            <a:t>1000</a:t>
          </a:fld>
          <a:endParaRPr lang="en-IN" sz="4400" b="1" i="0" u="none" strike="noStrike">
            <a:solidFill>
              <a:srgbClr val="000000"/>
            </a:solidFill>
            <a:latin typeface="Calibri"/>
            <a:ea typeface="Calibri"/>
            <a:cs typeface="Calibri"/>
          </a:endParaRPr>
        </a:p>
      </xdr:txBody>
    </xdr:sp>
    <xdr:clientData/>
  </xdr:twoCellAnchor>
  <xdr:twoCellAnchor>
    <xdr:from>
      <xdr:col>57</xdr:col>
      <xdr:colOff>368497</xdr:colOff>
      <xdr:row>18</xdr:row>
      <xdr:rowOff>173568</xdr:rowOff>
    </xdr:from>
    <xdr:to>
      <xdr:col>62</xdr:col>
      <xdr:colOff>474823</xdr:colOff>
      <xdr:row>23</xdr:row>
      <xdr:rowOff>789</xdr:rowOff>
    </xdr:to>
    <xdr:sp macro="" textlink="PIVOT!H31">
      <xdr:nvSpPr>
        <xdr:cNvPr id="23" name="TextBox 22">
          <a:extLst>
            <a:ext uri="{FF2B5EF4-FFF2-40B4-BE49-F238E27FC236}">
              <a16:creationId xmlns:a16="http://schemas.microsoft.com/office/drawing/2014/main" id="{65E4AF63-E59F-419F-9052-3A746C62F262}"/>
            </a:ext>
          </a:extLst>
        </xdr:cNvPr>
        <xdr:cNvSpPr txBox="1"/>
      </xdr:nvSpPr>
      <xdr:spPr>
        <a:xfrm>
          <a:off x="35356997" y="3602568"/>
          <a:ext cx="3175493" cy="7797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89AD861-A3DC-4582-87D6-56A3478CB414}" type="TxLink">
            <a:rPr lang="en-US" sz="4400" b="1" i="0" u="none" strike="noStrike">
              <a:solidFill>
                <a:srgbClr val="000000"/>
              </a:solidFill>
              <a:latin typeface="Calibri"/>
              <a:ea typeface="Calibri"/>
              <a:cs typeface="Calibri"/>
            </a:rPr>
            <a:pPr marL="0" indent="0"/>
            <a:t>14%</a:t>
          </a:fld>
          <a:endParaRPr lang="en-IN" sz="4400" b="1" i="0" u="none" strike="noStrike">
            <a:solidFill>
              <a:srgbClr val="000000"/>
            </a:solidFill>
            <a:latin typeface="Calibri"/>
            <a:ea typeface="Calibri"/>
            <a:cs typeface="Calibri"/>
          </a:endParaRPr>
        </a:p>
      </xdr:txBody>
    </xdr:sp>
    <xdr:clientData/>
  </xdr:twoCellAnchor>
  <xdr:twoCellAnchor>
    <xdr:from>
      <xdr:col>64</xdr:col>
      <xdr:colOff>12897</xdr:colOff>
      <xdr:row>18</xdr:row>
      <xdr:rowOff>156635</xdr:rowOff>
    </xdr:from>
    <xdr:to>
      <xdr:col>69</xdr:col>
      <xdr:colOff>119223</xdr:colOff>
      <xdr:row>22</xdr:row>
      <xdr:rowOff>174356</xdr:rowOff>
    </xdr:to>
    <xdr:sp macro="" textlink="PIVOT!H32">
      <xdr:nvSpPr>
        <xdr:cNvPr id="24" name="TextBox 23">
          <a:extLst>
            <a:ext uri="{FF2B5EF4-FFF2-40B4-BE49-F238E27FC236}">
              <a16:creationId xmlns:a16="http://schemas.microsoft.com/office/drawing/2014/main" id="{A0A3B55E-D666-41D2-BD3A-9097B98447F7}"/>
            </a:ext>
          </a:extLst>
        </xdr:cNvPr>
        <xdr:cNvSpPr txBox="1"/>
      </xdr:nvSpPr>
      <xdr:spPr>
        <a:xfrm>
          <a:off x="39027297" y="3509435"/>
          <a:ext cx="3154326" cy="7627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919A05E-8CEA-4C7D-A7A2-7D6280D3280A}" type="TxLink">
            <a:rPr lang="en-US" sz="4400" b="1" i="0" u="none" strike="noStrike">
              <a:solidFill>
                <a:srgbClr val="000000"/>
              </a:solidFill>
              <a:latin typeface="Calibri"/>
              <a:ea typeface="Calibri"/>
              <a:cs typeface="Calibri"/>
            </a:rPr>
            <a:pPr marL="0" indent="0"/>
            <a:t>859</a:t>
          </a:fld>
          <a:endParaRPr lang="en-IN" sz="4400" b="1" i="0" u="none" strike="noStrike">
            <a:solidFill>
              <a:srgbClr val="000000"/>
            </a:solidFill>
            <a:latin typeface="Calibri"/>
            <a:ea typeface="Calibri"/>
            <a:cs typeface="Calibri"/>
          </a:endParaRPr>
        </a:p>
      </xdr:txBody>
    </xdr:sp>
    <xdr:clientData/>
  </xdr:twoCellAnchor>
  <xdr:twoCellAnchor>
    <xdr:from>
      <xdr:col>70</xdr:col>
      <xdr:colOff>271130</xdr:colOff>
      <xdr:row>18</xdr:row>
      <xdr:rowOff>105835</xdr:rowOff>
    </xdr:from>
    <xdr:to>
      <xdr:col>75</xdr:col>
      <xdr:colOff>377456</xdr:colOff>
      <xdr:row>22</xdr:row>
      <xdr:rowOff>123556</xdr:rowOff>
    </xdr:to>
    <xdr:sp macro="" textlink="PIVOT!H33">
      <xdr:nvSpPr>
        <xdr:cNvPr id="25" name="TextBox 24">
          <a:extLst>
            <a:ext uri="{FF2B5EF4-FFF2-40B4-BE49-F238E27FC236}">
              <a16:creationId xmlns:a16="http://schemas.microsoft.com/office/drawing/2014/main" id="{713E7E71-7A7F-44BA-AFA6-7372CD0C0250}"/>
            </a:ext>
          </a:extLst>
        </xdr:cNvPr>
        <xdr:cNvSpPr txBox="1"/>
      </xdr:nvSpPr>
      <xdr:spPr>
        <a:xfrm>
          <a:off x="42943130" y="3458635"/>
          <a:ext cx="3154326" cy="7627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C2DF9B6-8CF3-4321-B568-672DACEA45BB}" type="TxLink">
            <a:rPr lang="en-US" sz="4400" b="1" i="0" u="none" strike="noStrike">
              <a:solidFill>
                <a:srgbClr val="000000"/>
              </a:solidFill>
              <a:latin typeface="Calibri"/>
              <a:ea typeface="Calibri"/>
              <a:cs typeface="Calibri"/>
            </a:rPr>
            <a:pPr marL="0" indent="0"/>
            <a:t>141</a:t>
          </a:fld>
          <a:endParaRPr lang="en-IN" sz="4400" b="1" i="0" u="none" strike="noStrike">
            <a:solidFill>
              <a:srgbClr val="000000"/>
            </a:solidFill>
            <a:latin typeface="Calibri"/>
            <a:ea typeface="Calibri"/>
            <a:cs typeface="Calibri"/>
          </a:endParaRPr>
        </a:p>
      </xdr:txBody>
    </xdr:sp>
    <xdr:clientData/>
  </xdr:twoCellAnchor>
  <xdr:twoCellAnchor>
    <xdr:from>
      <xdr:col>76</xdr:col>
      <xdr:colOff>529364</xdr:colOff>
      <xdr:row>18</xdr:row>
      <xdr:rowOff>105835</xdr:rowOff>
    </xdr:from>
    <xdr:to>
      <xdr:col>82</xdr:col>
      <xdr:colOff>340179</xdr:colOff>
      <xdr:row>22</xdr:row>
      <xdr:rowOff>123556</xdr:rowOff>
    </xdr:to>
    <xdr:sp macro="" textlink="PIVOT!H34">
      <xdr:nvSpPr>
        <xdr:cNvPr id="26" name="TextBox 25">
          <a:extLst>
            <a:ext uri="{FF2B5EF4-FFF2-40B4-BE49-F238E27FC236}">
              <a16:creationId xmlns:a16="http://schemas.microsoft.com/office/drawing/2014/main" id="{37DF928B-53AA-443A-9D52-211B5D028A4A}"/>
            </a:ext>
          </a:extLst>
        </xdr:cNvPr>
        <xdr:cNvSpPr txBox="1"/>
      </xdr:nvSpPr>
      <xdr:spPr>
        <a:xfrm>
          <a:off x="46858964" y="3458635"/>
          <a:ext cx="3468415" cy="7627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16F7075-B8EF-4CE7-9F94-A2005BE13648}" type="TxLink">
            <a:rPr lang="en-US" sz="4400" b="1" i="0" u="none" strike="noStrike">
              <a:solidFill>
                <a:srgbClr val="000000"/>
              </a:solidFill>
              <a:latin typeface="Calibri"/>
              <a:ea typeface="Calibri"/>
              <a:cs typeface="Calibri"/>
            </a:rPr>
            <a:pPr marL="0" indent="0"/>
            <a:t>₹ 78,298.35</a:t>
          </a:fld>
          <a:endParaRPr lang="en-IN" sz="4400" b="1" i="0" u="none" strike="noStrike">
            <a:solidFill>
              <a:srgbClr val="000000"/>
            </a:solidFill>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533400</xdr:colOff>
      <xdr:row>31</xdr:row>
      <xdr:rowOff>21665</xdr:rowOff>
    </xdr:from>
    <xdr:to>
      <xdr:col>24</xdr:col>
      <xdr:colOff>471989</xdr:colOff>
      <xdr:row>51</xdr:row>
      <xdr:rowOff>35782</xdr:rowOff>
    </xdr:to>
    <xdr:sp macro="" textlink="">
      <xdr:nvSpPr>
        <xdr:cNvPr id="2" name="Rectangle: Rounded Corners 1">
          <a:extLst>
            <a:ext uri="{FF2B5EF4-FFF2-40B4-BE49-F238E27FC236}">
              <a16:creationId xmlns:a16="http://schemas.microsoft.com/office/drawing/2014/main" id="{950DE09D-837E-44DF-9FF9-3045C32B8466}"/>
            </a:ext>
          </a:extLst>
        </xdr:cNvPr>
        <xdr:cNvSpPr/>
      </xdr:nvSpPr>
      <xdr:spPr>
        <a:xfrm>
          <a:off x="7848600" y="5795932"/>
          <a:ext cx="7253789" cy="3739450"/>
        </a:xfrm>
        <a:prstGeom prst="roundRect">
          <a:avLst>
            <a:gd name="adj" fmla="val 4869"/>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42333</xdr:colOff>
      <xdr:row>31</xdr:row>
      <xdr:rowOff>38598</xdr:rowOff>
    </xdr:from>
    <xdr:to>
      <xdr:col>36</xdr:col>
      <xdr:colOff>590522</xdr:colOff>
      <xdr:row>51</xdr:row>
      <xdr:rowOff>52715</xdr:rowOff>
    </xdr:to>
    <xdr:sp macro="" textlink="">
      <xdr:nvSpPr>
        <xdr:cNvPr id="3" name="Rectangle: Rounded Corners 2">
          <a:extLst>
            <a:ext uri="{FF2B5EF4-FFF2-40B4-BE49-F238E27FC236}">
              <a16:creationId xmlns:a16="http://schemas.microsoft.com/office/drawing/2014/main" id="{53BB299B-2F8B-45F2-B7DE-5693935EC364}"/>
            </a:ext>
          </a:extLst>
        </xdr:cNvPr>
        <xdr:cNvSpPr/>
      </xdr:nvSpPr>
      <xdr:spPr>
        <a:xfrm>
          <a:off x="15282333" y="5812865"/>
          <a:ext cx="7253789" cy="3739450"/>
        </a:xfrm>
        <a:prstGeom prst="roundRect">
          <a:avLst>
            <a:gd name="adj" fmla="val 4869"/>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0.502184259261" createdVersion="8" refreshedVersion="8" minRefreshableVersion="3" recordCount="1000" xr:uid="{651D49BA-CBEF-4158-85BF-88CEC8D78466}">
  <cacheSource type="worksheet">
    <worksheetSource name="Tab_101"/>
  </cacheSource>
  <cacheFields count="23">
    <cacheField name="Employee_ID" numFmtId="0">
      <sharedItems/>
    </cacheField>
    <cacheField name="Full_Name" numFmtId="0">
      <sharedItems/>
    </cacheField>
    <cacheField name="Age" numFmtId="0">
      <sharedItems containsSemiMixedTypes="0" containsString="0" containsNumber="1" containsInteger="1" minValue="23" maxValue="50" count="28">
        <n v="34"/>
        <n v="27"/>
        <n v="32"/>
        <n v="35"/>
        <n v="43"/>
        <n v="41"/>
        <n v="36"/>
        <n v="38"/>
        <n v="31"/>
        <n v="47"/>
        <n v="37"/>
        <n v="45"/>
        <n v="42"/>
        <n v="46"/>
        <n v="33"/>
        <n v="29"/>
        <n v="28"/>
        <n v="49"/>
        <n v="25"/>
        <n v="48"/>
        <n v="39"/>
        <n v="30"/>
        <n v="50"/>
        <n v="40"/>
        <n v="26"/>
        <n v="44"/>
        <n v="24"/>
        <n v="23"/>
      </sharedItems>
    </cacheField>
    <cacheField name="Gender" numFmtId="0">
      <sharedItems count="3">
        <s v="Undisclosed"/>
        <s v="Female"/>
        <s v="Male"/>
      </sharedItems>
    </cacheField>
    <cacheField name="Education" numFmtId="0">
      <sharedItems/>
    </cacheField>
    <cacheField name="City" numFmtId="0">
      <sharedItems/>
    </cacheField>
    <cacheField name="Department" numFmtId="0">
      <sharedItems count="8">
        <s v="Finance"/>
        <s v="Sales"/>
        <s v="Engineering"/>
        <s v="Operations"/>
        <s v="Customer Support"/>
        <s v="Marketing"/>
        <s v="HR"/>
        <s v="IT"/>
      </sharedItems>
    </cacheField>
    <cacheField name="Job_Role" numFmtId="0">
      <sharedItems/>
    </cacheField>
    <cacheField name="Employment_Type" numFmtId="0">
      <sharedItems count="3">
        <s v="Full-Time"/>
        <s v="Contract"/>
        <s v="Part-Time"/>
      </sharedItems>
    </cacheField>
    <cacheField name="Join_Date" numFmtId="0">
      <sharedItems count="704">
        <s v="2023-01-13"/>
        <s v="2022-06-25"/>
        <s v="2024-09-04"/>
        <s v="2024-02-03"/>
        <s v="2024-06-27"/>
        <s v="2023-11-04"/>
        <s v="2023-02-25"/>
        <s v="2022-03-19"/>
        <s v="2021-11-03"/>
        <s v="2021-04-10"/>
        <s v="2023-10-14"/>
        <s v="2021-07-28"/>
        <s v="2021-03-25"/>
        <s v="2023-10-02"/>
        <s v="2022-06-20"/>
        <s v="2024-07-25"/>
        <s v="2024-03-20"/>
        <s v="2024-04-08"/>
        <s v="2023-11-24"/>
        <s v="2022-10-05"/>
        <s v="2021-07-02"/>
        <s v="2021-01-09"/>
        <s v="2022-12-05"/>
        <s v="2024-06-09"/>
        <s v="2022-03-03"/>
        <s v="2021-06-14"/>
        <s v="2021-06-22"/>
        <s v="2022-01-05"/>
        <s v="2023-04-04"/>
        <s v="2023-12-03"/>
        <s v="2024-09-05"/>
        <s v="2022-03-14"/>
        <s v="2021-09-21"/>
        <s v="2023-11-10"/>
        <s v="2023-09-18"/>
        <s v="2024-08-10"/>
        <s v="2023-07-12"/>
        <s v="2023-03-07"/>
        <s v="2023-10-11"/>
        <s v="2022-09-21"/>
        <s v="2021-12-05"/>
        <s v="2023-05-23"/>
        <s v="2023-08-21"/>
        <s v="2022-01-18"/>
        <s v="2021-07-26"/>
        <s v="2023-03-24"/>
        <s v="2023-04-01"/>
        <s v="2023-12-04"/>
        <s v="2023-02-19"/>
        <s v="2024-10-02"/>
        <s v="2022-11-24"/>
        <s v="2021-01-10"/>
        <s v="2021-08-20"/>
        <s v="2022-07-10"/>
        <s v="2024-04-28"/>
        <s v="2022-01-09"/>
        <s v="2022-07-08"/>
        <s v="2023-03-05"/>
        <s v="2024-06-02"/>
        <s v="2023-06-09"/>
        <s v="2021-12-06"/>
        <s v="2021-03-28"/>
        <s v="2021-09-24"/>
        <s v="2022-11-19"/>
        <s v="2023-02-05"/>
        <s v="2022-10-17"/>
        <s v="2021-03-10"/>
        <s v="2023-12-23"/>
        <s v="2021-07-22"/>
        <s v="2021-02-25"/>
        <s v="2022-06-01"/>
        <s v="2021-01-28"/>
        <s v="2022-08-19"/>
        <s v="2023-10-13"/>
        <s v="2022-09-13"/>
        <s v="2021-08-05"/>
        <s v="2024-10-24"/>
        <s v="2022-05-28"/>
        <s v="2021-10-12"/>
        <s v="2022-11-13"/>
        <s v="2021-12-15"/>
        <s v="2024-01-04"/>
        <s v="2022-07-21"/>
        <s v="2021-02-11"/>
        <s v="2024-05-21"/>
        <s v="2024-02-01"/>
        <s v="2022-03-18"/>
        <s v="2022-02-01"/>
        <s v="2021-08-15"/>
        <s v="2022-03-28"/>
        <s v="2024-05-25"/>
        <s v="2021-04-18"/>
        <s v="2024-12-12"/>
        <s v="2022-03-25"/>
        <s v="2021-04-27"/>
        <s v="2023-02-02"/>
        <s v="2022-11-10"/>
        <s v="2023-07-09"/>
        <s v="2021-04-19"/>
        <s v="2024-09-10"/>
        <s v="2022-02-28"/>
        <s v="2023-04-22"/>
        <s v="2021-04-12"/>
        <s v="2024-03-14"/>
        <s v="2022-07-06"/>
        <s v="2021-08-28"/>
        <s v="2021-09-19"/>
        <s v="2021-02-13"/>
        <s v="2021-05-28"/>
        <s v="2023-06-01"/>
        <s v="2024-12-16"/>
        <s v="2023-12-07"/>
        <s v="2021-05-01"/>
        <s v="2021-06-09"/>
        <s v="2024-07-13"/>
        <s v="2022-11-11"/>
        <s v="2024-05-07"/>
        <s v="2022-04-23"/>
        <s v="2023-04-06"/>
        <s v="2021-01-23"/>
        <s v="2021-05-04"/>
        <s v="2021-02-27"/>
        <s v="2023-06-26"/>
        <s v="2024-07-15"/>
        <s v="2022-10-13"/>
        <s v="2022-06-09"/>
        <s v="2021-02-26"/>
        <s v="2024-02-04"/>
        <s v="2024-04-15"/>
        <s v="2024-09-25"/>
        <s v="2024-10-23"/>
        <s v="2024-10-19"/>
        <s v="2023-04-25"/>
        <s v="2023-09-02"/>
        <s v="2022-12-17"/>
        <s v="2023-02-26"/>
        <s v="2024-09-27"/>
        <s v="2023-09-26"/>
        <s v="2021-08-06"/>
        <s v="2024-09-18"/>
        <s v="2024-11-18"/>
        <s v="2023-12-19"/>
        <s v="2021-03-21"/>
        <s v="2024-11-25"/>
        <s v="2022-12-24"/>
        <s v="2023-12-09"/>
        <s v="2021-09-05"/>
        <s v="2022-11-27"/>
        <s v="2023-02-07"/>
        <s v="2024-07-05"/>
        <s v="2021-11-21"/>
        <s v="2021-05-20"/>
        <s v="2023-09-14"/>
        <s v="2022-08-26"/>
        <s v="2023-02-20"/>
        <s v="2022-10-06"/>
        <s v="2023-06-27"/>
        <s v="2023-12-15"/>
        <s v="2021-12-27"/>
        <s v="2022-05-07"/>
        <s v="2023-08-06"/>
        <s v="2022-07-19"/>
        <s v="2023-08-10"/>
        <s v="2023-11-20"/>
        <s v="2021-02-06"/>
        <s v="2022-11-09"/>
        <s v="2024-05-08"/>
        <s v="2022-10-20"/>
        <s v="2021-12-16"/>
        <s v="2022-09-25"/>
        <s v="2021-09-01"/>
        <s v="2021-05-25"/>
        <s v="2022-08-13"/>
        <s v="2023-10-04"/>
        <s v="2021-03-16"/>
        <s v="2022-09-12"/>
        <s v="2023-10-08"/>
        <s v="2021-04-04"/>
        <s v="2024-11-02"/>
        <s v="2022-04-17"/>
        <s v="2024-06-11"/>
        <s v="2022-03-09"/>
        <s v="2024-02-25"/>
        <s v="2023-09-23"/>
        <s v="2024-09-14"/>
        <s v="2023-06-07"/>
        <s v="2021-12-02"/>
        <s v="2022-12-23"/>
        <s v="2024-04-13"/>
        <s v="2023-06-21"/>
        <s v="2024-09-22"/>
        <s v="2022-07-25"/>
        <s v="2022-03-01"/>
        <s v="2022-03-07"/>
        <s v="2021-10-24"/>
        <s v="2022-07-14"/>
        <s v="2022-07-18"/>
        <s v="2021-10-25"/>
        <s v="2022-01-06"/>
        <s v="2022-12-10"/>
        <s v="2023-02-10"/>
        <s v="2023-08-26"/>
        <s v="2021-04-03"/>
        <s v="2023-03-06"/>
        <s v="2021-08-22"/>
        <s v="2022-02-27"/>
        <s v="2024-02-12"/>
        <s v="2022-09-06"/>
        <s v="2023-09-04"/>
        <s v="2021-06-18"/>
        <s v="2024-03-07"/>
        <s v="2024-08-26"/>
        <s v="2023-01-02"/>
        <s v="2021-11-16"/>
        <s v="2022-11-15"/>
        <s v="2022-04-19"/>
        <s v="2024-07-22"/>
        <s v="2022-12-22"/>
        <s v="2022-01-01"/>
        <s v="2021-11-15"/>
        <s v="2024-03-21"/>
        <s v="2021-11-13"/>
        <s v="2021-11-23"/>
        <s v="2024-01-02"/>
        <s v="2021-04-23"/>
        <s v="2024-06-04"/>
        <s v="2021-03-04"/>
        <s v="2024-07-08"/>
        <s v="2022-08-25"/>
        <s v="2021-05-05"/>
        <s v="2022-10-16"/>
        <s v="2024-09-13"/>
        <s v="2023-12-02"/>
        <s v="2022-12-25"/>
        <s v="2021-04-15"/>
        <s v="2022-08-12"/>
        <s v="2023-03-26"/>
        <s v="2022-08-09"/>
        <s v="2022-01-24"/>
        <s v="2021-11-12"/>
        <s v="2024-03-27"/>
        <s v="2022-04-06"/>
        <s v="2023-07-06"/>
        <s v="2021-03-11"/>
        <s v="2022-09-11"/>
        <s v="2022-09-20"/>
        <s v="2021-04-05"/>
        <s v="2021-02-10"/>
        <s v="2021-09-07"/>
        <s v="2022-09-08"/>
        <s v="2023-11-27"/>
        <s v="2024-09-09"/>
        <s v="2021-02-22"/>
        <s v="2021-07-09"/>
        <s v="2021-06-13"/>
        <s v="2022-05-09"/>
        <s v="2022-05-22"/>
        <s v="2023-11-18"/>
        <s v="2022-04-04"/>
        <s v="2024-04-05"/>
        <s v="2023-08-23"/>
        <s v="2024-07-01"/>
        <s v="2023-12-14"/>
        <s v="2023-10-03"/>
        <s v="2024-06-06"/>
        <s v="2023-03-03"/>
        <s v="2022-10-07"/>
        <s v="2022-12-13"/>
        <s v="2023-03-18"/>
        <s v="2023-07-10"/>
        <s v="2024-07-04"/>
        <s v="2022-10-01"/>
        <s v="2024-08-21"/>
        <s v="2023-09-07"/>
        <s v="2022-08-17"/>
        <s v="2021-09-14"/>
        <s v="2023-06-19"/>
        <s v="2024-08-23"/>
        <s v="2022-07-27"/>
        <s v="2024-01-11"/>
        <s v="2021-07-19"/>
        <s v="2022-10-22"/>
        <s v="2022-03-20"/>
        <s v="2021-09-08"/>
        <s v="2021-09-02"/>
        <s v="2022-08-14"/>
        <s v="2024-07-14"/>
        <s v="2024-04-10"/>
        <s v="2023-04-27"/>
        <s v="2022-06-10"/>
        <s v="2022-08-03"/>
        <s v="2021-12-07"/>
        <s v="2024-01-26"/>
        <s v="2024-06-26"/>
        <s v="2024-09-01"/>
        <s v="2023-08-18"/>
        <s v="2022-03-12"/>
        <s v="2024-07-18"/>
        <s v="2021-05-22"/>
        <s v="2024-03-18"/>
        <s v="2021-12-08"/>
        <s v="2021-06-17"/>
        <s v="2021-08-17"/>
        <s v="2021-01-05"/>
        <s v="2021-07-12"/>
        <s v="2024-01-16"/>
        <s v="2021-09-04"/>
        <s v="2021-01-27"/>
        <s v="2022-04-18"/>
        <s v="2024-11-20"/>
        <s v="2021-04-08"/>
        <s v="2023-07-15"/>
        <s v="2021-02-03"/>
        <s v="2023-07-13"/>
        <s v="2024-11-10"/>
        <s v="2022-09-23"/>
        <s v="2024-06-23"/>
        <s v="2023-11-03"/>
        <s v="2024-07-11"/>
        <s v="2022-03-27"/>
        <s v="2021-07-23"/>
        <s v="2021-11-06"/>
        <s v="2023-11-23"/>
        <s v="2021-05-08"/>
        <s v="2021-09-26"/>
        <s v="2021-08-03"/>
        <s v="2023-05-19"/>
        <s v="2023-10-18"/>
        <s v="2023-08-13"/>
        <s v="2022-10-19"/>
        <s v="2024-10-10"/>
        <s v="2021-07-20"/>
        <s v="2021-01-15"/>
        <s v="2023-01-26"/>
        <s v="2024-11-21"/>
        <s v="2021-05-02"/>
        <s v="2022-08-22"/>
        <s v="2023-12-13"/>
        <s v="2024-06-25"/>
        <s v="2023-01-04"/>
        <s v="2022-02-11"/>
        <s v="2022-05-02"/>
        <s v="2024-02-11"/>
        <s v="2021-09-12"/>
        <s v="2022-11-05"/>
        <s v="2022-05-21"/>
        <s v="2022-08-16"/>
        <s v="2022-07-04"/>
        <s v="2022-02-07"/>
        <s v="2024-09-24"/>
        <s v="2021-07-08"/>
        <s v="2023-05-04"/>
        <s v="2021-01-19"/>
        <s v="2023-06-15"/>
        <s v="2021-03-15"/>
        <s v="2023-06-03"/>
        <s v="2023-11-21"/>
        <s v="2021-10-04"/>
        <s v="2022-01-08"/>
        <s v="2023-08-14"/>
        <s v="2022-12-03"/>
        <s v="2024-03-25"/>
        <s v="2024-11-15"/>
        <s v="2021-02-07"/>
        <s v="2023-05-13"/>
        <s v="2023-10-28"/>
        <s v="2022-05-06"/>
        <s v="2024-07-28"/>
        <s v="2022-02-10"/>
        <s v="2023-07-16"/>
        <s v="2022-06-22"/>
        <s v="2024-12-18"/>
        <s v="2024-02-16"/>
        <s v="2024-01-12"/>
        <s v="2023-09-06"/>
        <s v="2022-02-03"/>
        <s v="2022-01-11"/>
        <s v="2023-07-04"/>
        <s v="2023-03-25"/>
        <s v="2021-10-21"/>
        <s v="2021-11-26"/>
        <s v="2024-02-18"/>
        <s v="2024-04-06"/>
        <s v="2022-10-15"/>
        <s v="2022-02-09"/>
        <s v="2021-04-01"/>
        <s v="2021-01-21"/>
        <s v="2024-12-10"/>
        <s v="2023-11-16"/>
        <s v="2022-06-16"/>
        <s v="2023-07-19"/>
        <s v="2022-09-10"/>
        <s v="2023-03-12"/>
        <s v="2023-05-20"/>
        <s v="2024-02-05"/>
        <s v="2023-03-20"/>
        <s v="2024-01-19"/>
        <s v="2024-09-03"/>
        <s v="2023-03-23"/>
        <s v="2024-07-03"/>
        <s v="2023-04-07"/>
        <s v="2024-04-27"/>
        <s v="2021-10-18"/>
        <s v="2021-10-16"/>
        <s v="2021-09-16"/>
        <s v="2024-01-13"/>
        <s v="2024-12-24"/>
        <s v="2023-05-26"/>
        <s v="2023-03-13"/>
        <s v="2023-05-09"/>
        <s v="2023-01-22"/>
        <s v="2023-06-14"/>
        <s v="2021-11-24"/>
        <s v="2022-09-28"/>
        <s v="2023-02-08"/>
        <s v="2023-02-12"/>
        <s v="2022-01-20"/>
        <s v="2021-08-14"/>
        <s v="2021-12-23"/>
        <s v="2022-12-16"/>
        <s v="2023-08-17"/>
        <s v="2022-08-11"/>
        <s v="2022-05-26"/>
        <s v="2022-07-01"/>
        <s v="2021-09-06"/>
        <s v="2024-01-09"/>
        <s v="2021-03-07"/>
        <s v="2023-10-21"/>
        <s v="2024-06-19"/>
        <s v="2021-03-17"/>
        <s v="2023-12-05"/>
        <s v="2024-11-23"/>
        <s v="2023-03-09"/>
        <s v="2022-01-27"/>
        <s v="2021-04-25"/>
        <s v="2021-05-26"/>
        <s v="2023-01-16"/>
        <s v="2024-10-13"/>
        <s v="2022-08-07"/>
        <s v="2021-11-28"/>
        <s v="2024-09-12"/>
        <s v="2021-02-28"/>
        <s v="2021-06-24"/>
        <s v="2021-03-20"/>
        <s v="2022-12-26"/>
        <s v="2023-06-12"/>
        <s v="2023-05-25"/>
        <s v="2024-10-28"/>
        <s v="2021-11-22"/>
        <s v="2024-09-17"/>
        <s v="2022-03-15"/>
        <s v="2021-12-25"/>
        <s v="2024-12-09"/>
        <s v="2023-09-12"/>
        <s v="2024-10-21"/>
        <s v="2023-12-06"/>
        <s v="2024-08-04"/>
        <s v="2024-11-07"/>
        <s v="2023-11-15"/>
        <s v="2022-04-10"/>
        <s v="2022-03-11"/>
        <s v="2023-02-16"/>
        <s v="2022-04-25"/>
        <s v="2024-01-18"/>
        <s v="2023-03-11"/>
        <s v="2021-12-26"/>
        <s v="2023-09-15"/>
        <s v="2021-04-24"/>
        <s v="2021-01-25"/>
        <s v="2024-02-24"/>
        <s v="2024-03-03"/>
        <s v="2024-12-14"/>
        <s v="2024-11-09"/>
        <s v="2024-07-23"/>
        <s v="2023-07-26"/>
        <s v="2022-08-28"/>
        <s v="2024-05-05"/>
        <s v="2021-08-08"/>
        <s v="2024-11-19"/>
        <s v="2024-09-11"/>
        <s v="2024-09-21"/>
        <s v="2023-06-08"/>
        <s v="2022-04-20"/>
        <s v="2024-05-16"/>
        <s v="2021-01-11"/>
        <s v="2022-09-05"/>
        <s v="2023-08-22"/>
        <s v="2021-09-03"/>
        <s v="2023-09-16"/>
        <s v="2021-05-13"/>
        <s v="2024-05-20"/>
        <s v="2021-04-14"/>
        <s v="2022-06-15"/>
        <s v="2022-08-18"/>
        <s v="2022-07-05"/>
        <s v="2021-06-20"/>
        <s v="2022-02-22"/>
        <s v="2021-10-19"/>
        <s v="2024-11-03"/>
        <s v="2022-10-26"/>
        <s v="2021-03-03"/>
        <s v="2023-04-14"/>
        <s v="2024-01-24"/>
        <s v="2022-07-12"/>
        <s v="2022-06-21"/>
        <s v="2022-09-26"/>
        <s v="2021-11-14"/>
        <s v="2023-06-11"/>
        <s v="2022-04-02"/>
        <s v="2023-05-18"/>
        <s v="2022-06-07"/>
        <s v="2021-05-15"/>
        <s v="2022-02-21"/>
        <s v="2021-01-16"/>
        <s v="2021-11-02"/>
        <s v="2023-12-21"/>
        <s v="2021-09-18"/>
        <s v="2024-12-25"/>
        <s v="2024-06-07"/>
        <s v="2024-04-20"/>
        <s v="2024-03-15"/>
        <s v="2024-04-23"/>
        <s v="2024-09-23"/>
        <s v="2023-08-03"/>
        <s v="2023-04-28"/>
        <s v="2022-04-21"/>
        <s v="2024-11-28"/>
        <s v="2023-05-27"/>
        <s v="2021-05-21"/>
        <s v="2024-06-08"/>
        <s v="2023-09-19"/>
        <s v="2022-02-24"/>
        <s v="2023-02-01"/>
        <s v="2024-07-26"/>
        <s v="2024-02-14"/>
        <s v="2022-02-20"/>
        <s v="2022-05-18"/>
        <s v="2022-04-26"/>
        <s v="2024-05-17"/>
        <s v="2022-07-02"/>
        <s v="2023-11-22"/>
        <s v="2023-02-27"/>
        <s v="2022-05-27"/>
        <s v="2021-10-10"/>
        <s v="2021-01-02"/>
        <s v="2023-07-03"/>
        <s v="2022-04-05"/>
        <s v="2024-05-01"/>
        <s v="2024-10-07"/>
        <s v="2023-03-22"/>
        <s v="2023-03-04"/>
        <s v="2021-06-28"/>
        <s v="2024-05-02"/>
        <s v="2021-05-10"/>
        <s v="2023-05-24"/>
        <s v="2022-12-09"/>
        <s v="2021-12-01"/>
        <s v="2021-08-26"/>
        <s v="2024-04-18"/>
        <s v="2022-11-18"/>
        <s v="2024-05-23"/>
        <s v="2021-02-19"/>
        <s v="2021-10-14"/>
        <s v="2021-08-27"/>
        <s v="2021-11-09"/>
        <s v="2024-05-11"/>
        <s v="2022-01-17"/>
        <s v="2022-03-02"/>
        <s v="2021-03-06"/>
        <s v="2023-09-05"/>
        <s v="2022-04-14"/>
        <s v="2021-09-17"/>
        <s v="2021-03-23"/>
        <s v="2023-02-15"/>
        <s v="2022-08-20"/>
        <s v="2021-12-03"/>
        <s v="2022-01-03"/>
        <s v="2023-04-16"/>
        <s v="2021-01-13"/>
        <s v="2023-10-24"/>
        <s v="2023-10-26"/>
        <s v="2024-10-18"/>
        <s v="2023-11-08"/>
        <s v="2022-10-23"/>
        <s v="2021-02-14"/>
        <s v="2024-12-02"/>
        <s v="2022-05-20"/>
        <s v="2024-08-07"/>
        <s v="2024-09-16"/>
        <s v="2022-06-27"/>
        <s v="2023-04-13"/>
        <s v="2023-01-01"/>
        <s v="2024-08-18"/>
        <s v="2023-03-17"/>
        <s v="2024-07-19"/>
        <s v="2023-08-05"/>
        <s v="2024-02-21"/>
        <s v="2022-12-14"/>
        <s v="2024-02-06"/>
        <s v="2021-03-26"/>
        <s v="2023-11-17"/>
        <s v="2022-01-10"/>
        <s v="2024-11-17"/>
        <s v="2022-04-28"/>
        <s v="2021-07-14"/>
        <s v="2021-08-23"/>
        <s v="2023-09-28"/>
        <s v="2021-02-23"/>
        <s v="2024-06-16"/>
        <s v="2022-03-16"/>
        <s v="2023-11-02"/>
        <s v="2021-07-15"/>
        <s v="2022-12-19"/>
        <s v="2021-11-25"/>
        <s v="2024-12-21"/>
        <s v="2024-11-11"/>
        <s v="2021-07-01"/>
        <s v="2021-05-11"/>
        <s v="2021-12-19"/>
        <s v="2024-12-13"/>
        <s v="2024-05-14"/>
        <s v="2023-06-24"/>
        <s v="2021-06-26"/>
        <s v="2022-08-10"/>
        <s v="2021-08-02"/>
        <s v="2024-01-23"/>
        <s v="2023-12-26"/>
        <s v="2023-09-21"/>
        <s v="2024-01-27"/>
        <s v="2023-09-03"/>
        <s v="2022-06-28"/>
        <s v="2022-07-26"/>
        <s v="2023-01-15"/>
        <s v="2021-04-21"/>
        <s v="2021-08-18"/>
        <s v="2021-06-08"/>
        <s v="2022-01-23"/>
        <s v="2022-01-02"/>
        <s v="2022-12-04"/>
        <s v="2024-08-15"/>
        <s v="2022-02-26"/>
        <s v="2023-07-27"/>
        <s v="2024-07-07"/>
        <s v="2022-07-22"/>
        <s v="2022-11-08"/>
        <s v="2022-01-15"/>
        <s v="2023-05-07"/>
        <s v="2023-12-18"/>
        <s v="2021-11-27"/>
        <s v="2021-06-21"/>
        <s v="2022-03-24"/>
        <s v="2024-05-04"/>
        <s v="2023-11-13"/>
        <s v="2024-07-02"/>
        <s v="2022-11-07"/>
        <s v="2023-01-25"/>
        <s v="2024-07-10"/>
        <s v="2024-04-02"/>
        <s v="2023-10-15"/>
        <s v="2023-07-22"/>
        <s v="2023-04-10"/>
        <s v="2022-12-28"/>
        <s v="2021-10-20"/>
        <s v="2024-03-22"/>
        <s v="2021-01-18"/>
        <s v="2023-01-05"/>
        <s v="2021-04-09"/>
        <s v="2024-03-26"/>
        <s v="2021-12-18"/>
        <s v="2023-10-22"/>
        <s v="2023-07-08"/>
        <s v="2022-11-14"/>
        <s v="2023-04-24"/>
        <s v="2024-10-06"/>
        <s v="2021-07-16"/>
        <s v="2021-08-09"/>
        <s v="2021-07-10"/>
        <s v="2024-02-19"/>
        <s v="2024-12-01"/>
        <s v="2024-03-06"/>
        <s v="2022-10-14"/>
        <s v="2022-11-06"/>
        <s v="2023-09-11"/>
        <s v="2021-09-28"/>
        <s v="2024-03-11"/>
        <s v="2023-03-21"/>
        <s v="2023-10-17"/>
        <s v="2023-07-28"/>
        <s v="2021-06-11"/>
        <s v="2022-03-22"/>
        <s v="2021-11-05"/>
        <s v="2021-12-22"/>
        <s v="2023-02-28"/>
        <s v="2022-04-03"/>
        <s v="2021-01-20"/>
        <s v="2024-05-26"/>
        <s v="2023-06-04"/>
        <s v="2022-02-14"/>
        <s v="2023-08-02"/>
        <s v="2023-01-07"/>
        <s v="2021-02-17"/>
        <s v="2022-05-14"/>
        <s v="2023-12-11"/>
        <s v="2023-02-18"/>
      </sharedItems>
    </cacheField>
    <cacheField name="Year" numFmtId="0">
      <sharedItems containsSemiMixedTypes="0" containsString="0" containsNumber="1" containsInteger="1" minValue="2021" maxValue="2024" count="4">
        <n v="2023"/>
        <n v="2022"/>
        <n v="2024"/>
        <n v="2021"/>
      </sharedItems>
    </cacheField>
    <cacheField name="Years_At_Company" numFmtId="0">
      <sharedItems containsSemiMixedTypes="0" containsString="0" containsNumber="1" containsInteger="1" minValue="0" maxValue="3"/>
    </cacheField>
    <cacheField name="Years_Experience" numFmtId="0">
      <sharedItems containsSemiMixedTypes="0" containsString="0" containsNumber="1" containsInteger="1" minValue="1" maxValue="20"/>
    </cacheField>
    <cacheField name="Performance_Rating" numFmtId="0">
      <sharedItems count="4">
        <s v="Good"/>
        <s v="Below Average"/>
        <s v="Excellent"/>
        <s v="Average"/>
      </sharedItems>
    </cacheField>
    <cacheField name="Job_Satisfaction" numFmtId="0">
      <sharedItems containsSemiMixedTypes="0" containsString="0" containsNumber="1" containsInteger="1" minValue="1" maxValue="5" count="5">
        <n v="2"/>
        <n v="1"/>
        <n v="5"/>
        <n v="3"/>
        <n v="4"/>
      </sharedItems>
    </cacheField>
    <cacheField name="Work_Life_Balance" numFmtId="0">
      <sharedItems containsSemiMixedTypes="0" containsString="0" containsNumber="1" containsInteger="1" minValue="1" maxValue="5" count="5">
        <n v="5"/>
        <n v="1"/>
        <n v="4"/>
        <n v="2"/>
        <n v="3"/>
      </sharedItems>
    </cacheField>
    <cacheField name="Overtime" numFmtId="0">
      <sharedItems count="2">
        <s v="Yes"/>
        <s v="No"/>
      </sharedItems>
    </cacheField>
    <cacheField name="Leaves_Taken" numFmtId="0">
      <sharedItems containsSemiMixedTypes="0" containsString="0" containsNumber="1" containsInteger="1" minValue="0" maxValue="24"/>
    </cacheField>
    <cacheField name="Training_Hours" numFmtId="0">
      <sharedItems containsSemiMixedTypes="0" containsString="0" containsNumber="1" containsInteger="1" minValue="0" maxValue="80"/>
    </cacheField>
    <cacheField name="Salary" numFmtId="0">
      <sharedItems containsSemiMixedTypes="0" containsString="0" containsNumber="1" containsInteger="1" minValue="35571" maxValue="139964"/>
    </cacheField>
    <cacheField name="Bonus" numFmtId="0">
      <sharedItems containsSemiMixedTypes="0" containsString="0" containsNumber="1" containsInteger="1" minValue="900" maxValue="30800"/>
    </cacheField>
    <cacheField name="Salary_Hike_%" numFmtId="0">
      <sharedItems containsSemiMixedTypes="0" containsString="0" containsNumber="1" minValue="3" maxValue="15"/>
    </cacheField>
    <cacheField name="Attrition" numFmtId="0">
      <sharedItems count="2">
        <s v="No"/>
        <s v="Yes"/>
      </sharedItems>
    </cacheField>
  </cacheFields>
  <extLst>
    <ext xmlns:x14="http://schemas.microsoft.com/office/spreadsheetml/2009/9/main" uri="{725AE2AE-9491-48be-B2B4-4EB974FC3084}">
      <x14:pivotCacheDefinition pivotCacheId="1101081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MP1001"/>
    <s v="Riley Rodriguez"/>
    <x v="0"/>
    <x v="0"/>
    <s v="High School"/>
    <s v="Philadelphia"/>
    <x v="0"/>
    <s v="Financial Analyst"/>
    <x v="0"/>
    <x v="0"/>
    <x v="0"/>
    <n v="1"/>
    <n v="9"/>
    <x v="0"/>
    <x v="0"/>
    <x v="0"/>
    <x v="0"/>
    <n v="6"/>
    <n v="8"/>
    <n v="109014"/>
    <n v="13900"/>
    <n v="10.7"/>
    <x v="0"/>
  </r>
  <r>
    <s v="EMP1002"/>
    <s v="Margaret Wilson"/>
    <x v="1"/>
    <x v="1"/>
    <s v="Bachelor's"/>
    <s v="Chicago"/>
    <x v="1"/>
    <s v="Sales Manager"/>
    <x v="0"/>
    <x v="1"/>
    <x v="1"/>
    <n v="2"/>
    <n v="5"/>
    <x v="1"/>
    <x v="0"/>
    <x v="0"/>
    <x v="1"/>
    <n v="10"/>
    <n v="2"/>
    <n v="54482"/>
    <n v="1700"/>
    <n v="12.6"/>
    <x v="1"/>
  </r>
  <r>
    <s v="EMP1003"/>
    <s v="Robert Lopez"/>
    <x v="2"/>
    <x v="2"/>
    <s v="Bachelor's"/>
    <s v="Dallas"/>
    <x v="2"/>
    <s v="Senior Engineer"/>
    <x v="0"/>
    <x v="2"/>
    <x v="2"/>
    <n v="0"/>
    <n v="3"/>
    <x v="0"/>
    <x v="1"/>
    <x v="1"/>
    <x v="0"/>
    <n v="15"/>
    <n v="51"/>
    <n v="117453"/>
    <n v="11900"/>
    <n v="9"/>
    <x v="0"/>
  </r>
  <r>
    <s v="EMP1004"/>
    <s v="Jessica Lopez"/>
    <x v="3"/>
    <x v="1"/>
    <s v="Bachelor's"/>
    <s v="Phoenix"/>
    <x v="2"/>
    <s v="DevOps Engineer"/>
    <x v="0"/>
    <x v="3"/>
    <x v="2"/>
    <n v="0"/>
    <n v="11"/>
    <x v="0"/>
    <x v="2"/>
    <x v="2"/>
    <x v="1"/>
    <n v="3"/>
    <n v="14"/>
    <n v="106046"/>
    <n v="13200"/>
    <n v="11.5"/>
    <x v="0"/>
  </r>
  <r>
    <s v="EMP1005"/>
    <s v="Mark Brown"/>
    <x v="4"/>
    <x v="2"/>
    <s v="Bachelor's"/>
    <s v="San Diego"/>
    <x v="3"/>
    <s v="Operations Manager"/>
    <x v="0"/>
    <x v="4"/>
    <x v="2"/>
    <n v="0"/>
    <n v="15"/>
    <x v="0"/>
    <x v="1"/>
    <x v="1"/>
    <x v="1"/>
    <n v="13"/>
    <n v="12"/>
    <n v="51231"/>
    <n v="5700"/>
    <n v="6.1"/>
    <x v="0"/>
  </r>
  <r>
    <s v="EMP1006"/>
    <s v="Sarah Smith"/>
    <x v="5"/>
    <x v="1"/>
    <s v="Diploma"/>
    <s v="Los Angeles"/>
    <x v="0"/>
    <s v="Accountant"/>
    <x v="0"/>
    <x v="5"/>
    <x v="0"/>
    <n v="1"/>
    <n v="14"/>
    <x v="0"/>
    <x v="0"/>
    <x v="3"/>
    <x v="1"/>
    <n v="21"/>
    <n v="61"/>
    <n v="104170"/>
    <n v="14600"/>
    <n v="3.6"/>
    <x v="0"/>
  </r>
  <r>
    <s v="EMP1007"/>
    <s v="Elizabeth Wilson"/>
    <x v="0"/>
    <x v="1"/>
    <s v="PhD"/>
    <s v="San Jose"/>
    <x v="4"/>
    <s v="Support Lead"/>
    <x v="1"/>
    <x v="6"/>
    <x v="0"/>
    <n v="1"/>
    <n v="9"/>
    <x v="0"/>
    <x v="3"/>
    <x v="1"/>
    <x v="1"/>
    <n v="5"/>
    <n v="34"/>
    <n v="62694"/>
    <n v="8300"/>
    <n v="10.5"/>
    <x v="0"/>
  </r>
  <r>
    <s v="EMP1008"/>
    <s v="Elizabeth Smith"/>
    <x v="6"/>
    <x v="1"/>
    <s v="Bachelor's"/>
    <s v="Chicago"/>
    <x v="1"/>
    <s v="Account Manager"/>
    <x v="0"/>
    <x v="7"/>
    <x v="1"/>
    <n v="2"/>
    <n v="13"/>
    <x v="1"/>
    <x v="3"/>
    <x v="0"/>
    <x v="1"/>
    <n v="19"/>
    <n v="10"/>
    <n v="86495"/>
    <n v="2200"/>
    <n v="9.4"/>
    <x v="1"/>
  </r>
  <r>
    <s v="EMP1009"/>
    <s v="Matthew Martinez"/>
    <x v="7"/>
    <x v="2"/>
    <s v="Master's"/>
    <s v="Los Angeles"/>
    <x v="2"/>
    <s v="Software Engineer"/>
    <x v="0"/>
    <x v="8"/>
    <x v="3"/>
    <n v="3"/>
    <n v="9"/>
    <x v="0"/>
    <x v="2"/>
    <x v="2"/>
    <x v="1"/>
    <n v="16"/>
    <n v="39"/>
    <n v="133656"/>
    <n v="15500"/>
    <n v="5.6"/>
    <x v="0"/>
  </r>
  <r>
    <s v="EMP1010"/>
    <s v="Charles Smith"/>
    <x v="8"/>
    <x v="2"/>
    <s v="PhD"/>
    <s v="Houston"/>
    <x v="1"/>
    <s v="Sales Executive"/>
    <x v="0"/>
    <x v="9"/>
    <x v="3"/>
    <n v="3"/>
    <n v="7"/>
    <x v="0"/>
    <x v="3"/>
    <x v="1"/>
    <x v="1"/>
    <n v="12"/>
    <n v="5"/>
    <n v="63969"/>
    <n v="6200"/>
    <n v="12"/>
    <x v="0"/>
  </r>
  <r>
    <s v="EMP1011"/>
    <s v="Mark Johnson"/>
    <x v="9"/>
    <x v="2"/>
    <s v="Master's"/>
    <s v="San Diego"/>
    <x v="2"/>
    <s v="DevOps Engineer"/>
    <x v="2"/>
    <x v="10"/>
    <x v="0"/>
    <n v="1"/>
    <n v="19"/>
    <x v="0"/>
    <x v="3"/>
    <x v="1"/>
    <x v="1"/>
    <n v="13"/>
    <n v="13"/>
    <n v="124747"/>
    <n v="14400"/>
    <n v="14.6"/>
    <x v="0"/>
  </r>
  <r>
    <s v="EMP1012"/>
    <s v="Richard Rodriguez"/>
    <x v="10"/>
    <x v="2"/>
    <s v="Bachelor's"/>
    <s v="Philadelphia"/>
    <x v="5"/>
    <s v="Marketing Manager"/>
    <x v="0"/>
    <x v="11"/>
    <x v="3"/>
    <n v="3"/>
    <n v="10"/>
    <x v="2"/>
    <x v="0"/>
    <x v="3"/>
    <x v="1"/>
    <n v="3"/>
    <n v="18"/>
    <n v="56018"/>
    <n v="11800"/>
    <n v="9.4"/>
    <x v="0"/>
  </r>
  <r>
    <s v="EMP1013"/>
    <s v="Charles Williams"/>
    <x v="11"/>
    <x v="2"/>
    <s v="PhD"/>
    <s v="Philadelphia"/>
    <x v="1"/>
    <s v="Account Manager"/>
    <x v="2"/>
    <x v="12"/>
    <x v="3"/>
    <n v="3"/>
    <n v="16"/>
    <x v="0"/>
    <x v="3"/>
    <x v="3"/>
    <x v="1"/>
    <n v="14"/>
    <n v="8"/>
    <n v="94799"/>
    <n v="12200"/>
    <n v="13.6"/>
    <x v="0"/>
  </r>
  <r>
    <s v="EMP1014"/>
    <s v="William Gonzalez"/>
    <x v="12"/>
    <x v="2"/>
    <s v="Bachelor's"/>
    <s v="Los Angeles"/>
    <x v="1"/>
    <s v="Business Development Rep"/>
    <x v="0"/>
    <x v="13"/>
    <x v="0"/>
    <n v="1"/>
    <n v="12"/>
    <x v="0"/>
    <x v="2"/>
    <x v="2"/>
    <x v="1"/>
    <n v="14"/>
    <n v="74"/>
    <n v="75260"/>
    <n v="7400"/>
    <n v="13"/>
    <x v="1"/>
  </r>
  <r>
    <s v="EMP1015"/>
    <s v="Matthew Martinez"/>
    <x v="13"/>
    <x v="2"/>
    <s v="Bachelor's"/>
    <s v="Chicago"/>
    <x v="0"/>
    <s v="Financial Analyst"/>
    <x v="0"/>
    <x v="14"/>
    <x v="1"/>
    <n v="2"/>
    <n v="16"/>
    <x v="0"/>
    <x v="4"/>
    <x v="2"/>
    <x v="0"/>
    <n v="16"/>
    <n v="66"/>
    <n v="59054"/>
    <n v="8000"/>
    <n v="13"/>
    <x v="0"/>
  </r>
  <r>
    <s v="EMP1016"/>
    <s v="Mark Jones"/>
    <x v="14"/>
    <x v="2"/>
    <s v="PhD"/>
    <s v="San Jose"/>
    <x v="5"/>
    <s v="Marketing Manager"/>
    <x v="2"/>
    <x v="15"/>
    <x v="2"/>
    <n v="0"/>
    <n v="11"/>
    <x v="0"/>
    <x v="3"/>
    <x v="1"/>
    <x v="0"/>
    <n v="18"/>
    <n v="18"/>
    <n v="87421"/>
    <n v="9800"/>
    <n v="9.6999999999999993"/>
    <x v="0"/>
  </r>
  <r>
    <s v="EMP1017"/>
    <s v="Christopher Lopez"/>
    <x v="15"/>
    <x v="2"/>
    <s v="Master's"/>
    <s v="Dallas"/>
    <x v="2"/>
    <s v="Tech Lead"/>
    <x v="0"/>
    <x v="16"/>
    <x v="2"/>
    <n v="0"/>
    <n v="3"/>
    <x v="3"/>
    <x v="4"/>
    <x v="0"/>
    <x v="1"/>
    <n v="11"/>
    <n v="2"/>
    <n v="113054"/>
    <n v="8500"/>
    <n v="12.9"/>
    <x v="0"/>
  </r>
  <r>
    <s v="EMP1018"/>
    <s v="Michael Garcia"/>
    <x v="15"/>
    <x v="2"/>
    <s v="Bachelor's"/>
    <s v="San Jose"/>
    <x v="6"/>
    <s v="Recruiter"/>
    <x v="0"/>
    <x v="17"/>
    <x v="2"/>
    <n v="0"/>
    <n v="5"/>
    <x v="0"/>
    <x v="4"/>
    <x v="3"/>
    <x v="1"/>
    <n v="5"/>
    <n v="23"/>
    <n v="46628"/>
    <n v="5700"/>
    <n v="11.9"/>
    <x v="0"/>
  </r>
  <r>
    <s v="EMP1019"/>
    <s v="Mary Miller"/>
    <x v="10"/>
    <x v="1"/>
    <s v="Master's"/>
    <s v="Houston"/>
    <x v="3"/>
    <s v="Operations Manager"/>
    <x v="0"/>
    <x v="18"/>
    <x v="0"/>
    <n v="1"/>
    <n v="8"/>
    <x v="0"/>
    <x v="2"/>
    <x v="2"/>
    <x v="1"/>
    <n v="14"/>
    <n v="36"/>
    <n v="74420"/>
    <n v="8000"/>
    <n v="14.6"/>
    <x v="0"/>
  </r>
  <r>
    <s v="EMP1020"/>
    <s v="Richard Williams"/>
    <x v="8"/>
    <x v="2"/>
    <s v="Master's"/>
    <s v="Chicago"/>
    <x v="1"/>
    <s v="Business Development Rep"/>
    <x v="0"/>
    <x v="19"/>
    <x v="1"/>
    <n v="2"/>
    <n v="9"/>
    <x v="0"/>
    <x v="2"/>
    <x v="3"/>
    <x v="0"/>
    <n v="13"/>
    <n v="11"/>
    <n v="69327"/>
    <n v="7000"/>
    <n v="13.2"/>
    <x v="0"/>
  </r>
  <r>
    <s v="EMP1021"/>
    <s v="Sandra Garcia"/>
    <x v="4"/>
    <x v="1"/>
    <s v="Bachelor's"/>
    <s v="Chicago"/>
    <x v="3"/>
    <s v="Operations Manager"/>
    <x v="0"/>
    <x v="20"/>
    <x v="3"/>
    <n v="3"/>
    <n v="13"/>
    <x v="1"/>
    <x v="3"/>
    <x v="2"/>
    <x v="1"/>
    <n v="22"/>
    <n v="17"/>
    <n v="70307"/>
    <n v="2000"/>
    <n v="3.3"/>
    <x v="0"/>
  </r>
  <r>
    <s v="EMP1022"/>
    <s v="James Anderson"/>
    <x v="8"/>
    <x v="2"/>
    <s v="Master's"/>
    <s v="Houston"/>
    <x v="0"/>
    <s v="Controller"/>
    <x v="0"/>
    <x v="21"/>
    <x v="3"/>
    <n v="3"/>
    <n v="7"/>
    <x v="0"/>
    <x v="2"/>
    <x v="2"/>
    <x v="0"/>
    <n v="2"/>
    <n v="14"/>
    <n v="102660"/>
    <n v="11900"/>
    <n v="12.3"/>
    <x v="0"/>
  </r>
  <r>
    <s v="EMP1023"/>
    <s v="Mary Hernandez"/>
    <x v="7"/>
    <x v="1"/>
    <s v="Bachelor's"/>
    <s v="Los Angeles"/>
    <x v="2"/>
    <s v="DevOps Engineer"/>
    <x v="1"/>
    <x v="22"/>
    <x v="1"/>
    <n v="2"/>
    <n v="10"/>
    <x v="0"/>
    <x v="2"/>
    <x v="0"/>
    <x v="1"/>
    <n v="16"/>
    <n v="70"/>
    <n v="116244"/>
    <n v="13500"/>
    <n v="11"/>
    <x v="1"/>
  </r>
  <r>
    <s v="EMP1024"/>
    <s v="Joseph Smith"/>
    <x v="16"/>
    <x v="2"/>
    <s v="PhD"/>
    <s v="Chicago"/>
    <x v="1"/>
    <s v="Sales Executive"/>
    <x v="0"/>
    <x v="23"/>
    <x v="2"/>
    <n v="0"/>
    <n v="1"/>
    <x v="0"/>
    <x v="2"/>
    <x v="4"/>
    <x v="1"/>
    <n v="20"/>
    <n v="22"/>
    <n v="67596"/>
    <n v="8600"/>
    <n v="4.2"/>
    <x v="0"/>
  </r>
  <r>
    <s v="EMP1025"/>
    <s v="Avery Hernandez"/>
    <x v="10"/>
    <x v="0"/>
    <s v="Bachelor's"/>
    <s v="Dallas"/>
    <x v="7"/>
    <s v="Systems Administrator"/>
    <x v="0"/>
    <x v="24"/>
    <x v="1"/>
    <n v="2"/>
    <n v="15"/>
    <x v="3"/>
    <x v="1"/>
    <x v="3"/>
    <x v="1"/>
    <n v="9"/>
    <n v="45"/>
    <n v="57870"/>
    <n v="4700"/>
    <n v="6.8"/>
    <x v="0"/>
  </r>
  <r>
    <s v="EMP1026"/>
    <s v="Elizabeth Jones"/>
    <x v="12"/>
    <x v="1"/>
    <s v="Diploma"/>
    <s v="Phoenix"/>
    <x v="2"/>
    <s v="Software Engineer"/>
    <x v="2"/>
    <x v="25"/>
    <x v="3"/>
    <n v="3"/>
    <n v="13"/>
    <x v="0"/>
    <x v="4"/>
    <x v="1"/>
    <x v="1"/>
    <n v="13"/>
    <n v="77"/>
    <n v="120678"/>
    <n v="12700"/>
    <n v="11.3"/>
    <x v="0"/>
  </r>
  <r>
    <s v="EMP1027"/>
    <s v="Elizabeth Johnson"/>
    <x v="6"/>
    <x v="1"/>
    <s v="Bachelor's"/>
    <s v="Philadelphia"/>
    <x v="1"/>
    <s v="Sales Manager"/>
    <x v="0"/>
    <x v="26"/>
    <x v="3"/>
    <n v="3"/>
    <n v="10"/>
    <x v="0"/>
    <x v="4"/>
    <x v="4"/>
    <x v="1"/>
    <n v="20"/>
    <n v="7"/>
    <n v="92032"/>
    <n v="11900"/>
    <n v="7.2"/>
    <x v="1"/>
  </r>
  <r>
    <s v="EMP1028"/>
    <s v="Susan Garcia"/>
    <x v="17"/>
    <x v="1"/>
    <s v="Bachelor's"/>
    <s v="Chicago"/>
    <x v="1"/>
    <s v="Sales Executive"/>
    <x v="0"/>
    <x v="27"/>
    <x v="1"/>
    <n v="2"/>
    <n v="20"/>
    <x v="0"/>
    <x v="3"/>
    <x v="4"/>
    <x v="0"/>
    <n v="14"/>
    <n v="9"/>
    <n v="49406"/>
    <n v="6300"/>
    <n v="7.3"/>
    <x v="0"/>
  </r>
  <r>
    <s v="EMP1029"/>
    <s v="Susan Garcia"/>
    <x v="18"/>
    <x v="1"/>
    <s v="Master's"/>
    <s v="San Diego"/>
    <x v="3"/>
    <s v="Operations Manager"/>
    <x v="0"/>
    <x v="28"/>
    <x v="0"/>
    <n v="1"/>
    <n v="1"/>
    <x v="1"/>
    <x v="0"/>
    <x v="1"/>
    <x v="1"/>
    <n v="14"/>
    <n v="22"/>
    <n v="70361"/>
    <n v="1800"/>
    <n v="12.3"/>
    <x v="0"/>
  </r>
  <r>
    <s v="EMP1030"/>
    <s v="Riley Hernandez"/>
    <x v="19"/>
    <x v="0"/>
    <s v="Bachelor's"/>
    <s v="Dallas"/>
    <x v="6"/>
    <s v="L&amp;D Specialist"/>
    <x v="0"/>
    <x v="29"/>
    <x v="0"/>
    <n v="1"/>
    <n v="18"/>
    <x v="3"/>
    <x v="0"/>
    <x v="3"/>
    <x v="1"/>
    <n v="7"/>
    <n v="63"/>
    <n v="59657"/>
    <n v="4500"/>
    <n v="14.1"/>
    <x v="0"/>
  </r>
  <r>
    <s v="EMP1031"/>
    <s v="Charles Garcia"/>
    <x v="4"/>
    <x v="2"/>
    <s v="Bachelor's"/>
    <s v="Philadelphia"/>
    <x v="3"/>
    <s v="Operations Analyst"/>
    <x v="0"/>
    <x v="30"/>
    <x v="2"/>
    <n v="0"/>
    <n v="20"/>
    <x v="1"/>
    <x v="4"/>
    <x v="2"/>
    <x v="0"/>
    <n v="21"/>
    <n v="66"/>
    <n v="71093"/>
    <n v="2300"/>
    <n v="9.3000000000000007"/>
    <x v="0"/>
  </r>
  <r>
    <s v="EMP1032"/>
    <s v="Anthony Gonzalez"/>
    <x v="20"/>
    <x v="2"/>
    <s v="PhD"/>
    <s v="Dallas"/>
    <x v="0"/>
    <s v="Accountant"/>
    <x v="2"/>
    <x v="31"/>
    <x v="1"/>
    <n v="2"/>
    <n v="17"/>
    <x v="2"/>
    <x v="1"/>
    <x v="4"/>
    <x v="1"/>
    <n v="6"/>
    <n v="70"/>
    <n v="88954"/>
    <n v="15400"/>
    <n v="6.9"/>
    <x v="0"/>
  </r>
  <r>
    <s v="EMP1033"/>
    <s v="William Martinez"/>
    <x v="21"/>
    <x v="2"/>
    <s v="Bachelor's"/>
    <s v="New York"/>
    <x v="5"/>
    <s v="Content Strategist"/>
    <x v="0"/>
    <x v="32"/>
    <x v="3"/>
    <n v="3"/>
    <n v="6"/>
    <x v="3"/>
    <x v="2"/>
    <x v="4"/>
    <x v="1"/>
    <n v="20"/>
    <n v="26"/>
    <n v="85925"/>
    <n v="6300"/>
    <n v="13.1"/>
    <x v="0"/>
  </r>
  <r>
    <s v="EMP1034"/>
    <s v="Mary Davis"/>
    <x v="5"/>
    <x v="1"/>
    <s v="PhD"/>
    <s v="San Diego"/>
    <x v="7"/>
    <s v="Systems Administrator"/>
    <x v="0"/>
    <x v="33"/>
    <x v="0"/>
    <n v="1"/>
    <n v="16"/>
    <x v="0"/>
    <x v="2"/>
    <x v="3"/>
    <x v="1"/>
    <n v="10"/>
    <n v="40"/>
    <n v="99891"/>
    <n v="11800"/>
    <n v="11.3"/>
    <x v="0"/>
  </r>
  <r>
    <s v="EMP1035"/>
    <s v="Taylor Gonzalez"/>
    <x v="8"/>
    <x v="0"/>
    <s v="Bachelor's"/>
    <s v="San Jose"/>
    <x v="2"/>
    <s v="Tech Lead"/>
    <x v="0"/>
    <x v="34"/>
    <x v="0"/>
    <n v="1"/>
    <n v="4"/>
    <x v="0"/>
    <x v="0"/>
    <x v="4"/>
    <x v="1"/>
    <n v="18"/>
    <n v="40"/>
    <n v="86059"/>
    <n v="9300"/>
    <n v="4.2"/>
    <x v="0"/>
  </r>
  <r>
    <s v="EMP1036"/>
    <s v="Jessica Rodriguez"/>
    <x v="7"/>
    <x v="1"/>
    <s v="Bachelor's"/>
    <s v="San Diego"/>
    <x v="6"/>
    <s v="HR Manager"/>
    <x v="0"/>
    <x v="35"/>
    <x v="2"/>
    <n v="0"/>
    <n v="16"/>
    <x v="0"/>
    <x v="4"/>
    <x v="4"/>
    <x v="0"/>
    <n v="17"/>
    <n v="1"/>
    <n v="65771"/>
    <n v="9400"/>
    <n v="5.6"/>
    <x v="0"/>
  </r>
  <r>
    <s v="EMP1037"/>
    <s v="Mark Jones"/>
    <x v="21"/>
    <x v="2"/>
    <s v="Bachelor's"/>
    <s v="Phoenix"/>
    <x v="3"/>
    <s v="Operations Analyst"/>
    <x v="2"/>
    <x v="36"/>
    <x v="0"/>
    <n v="1"/>
    <n v="2"/>
    <x v="2"/>
    <x v="2"/>
    <x v="0"/>
    <x v="1"/>
    <n v="3"/>
    <n v="16"/>
    <n v="81819"/>
    <n v="16700"/>
    <n v="3.9"/>
    <x v="0"/>
  </r>
  <r>
    <s v="EMP1038"/>
    <s v="Matthew Garcia"/>
    <x v="22"/>
    <x v="2"/>
    <s v="Bachelor's"/>
    <s v="San Jose"/>
    <x v="6"/>
    <s v="HR Executive"/>
    <x v="2"/>
    <x v="37"/>
    <x v="0"/>
    <n v="1"/>
    <n v="20"/>
    <x v="2"/>
    <x v="0"/>
    <x v="4"/>
    <x v="1"/>
    <n v="19"/>
    <n v="40"/>
    <n v="42638"/>
    <n v="7300"/>
    <n v="7"/>
    <x v="0"/>
  </r>
  <r>
    <s v="EMP1039"/>
    <s v="Charles Lopez"/>
    <x v="9"/>
    <x v="2"/>
    <s v="Master's"/>
    <s v="San Antonio"/>
    <x v="4"/>
    <s v="Support Lead"/>
    <x v="0"/>
    <x v="38"/>
    <x v="0"/>
    <n v="1"/>
    <n v="17"/>
    <x v="0"/>
    <x v="1"/>
    <x v="0"/>
    <x v="0"/>
    <n v="15"/>
    <n v="33"/>
    <n v="58223"/>
    <n v="6900"/>
    <n v="3.2"/>
    <x v="0"/>
  </r>
  <r>
    <s v="EMP1040"/>
    <s v="Karen Davis"/>
    <x v="19"/>
    <x v="1"/>
    <s v="Bachelor's"/>
    <s v="Chicago"/>
    <x v="6"/>
    <s v="HR Manager"/>
    <x v="0"/>
    <x v="39"/>
    <x v="1"/>
    <n v="2"/>
    <n v="20"/>
    <x v="2"/>
    <x v="0"/>
    <x v="2"/>
    <x v="1"/>
    <n v="16"/>
    <n v="78"/>
    <n v="55872"/>
    <n v="13200"/>
    <n v="4.3"/>
    <x v="1"/>
  </r>
  <r>
    <s v="EMP1041"/>
    <s v="Nancy Lopez"/>
    <x v="12"/>
    <x v="1"/>
    <s v="Master's"/>
    <s v="Dallas"/>
    <x v="0"/>
    <s v="Controller"/>
    <x v="0"/>
    <x v="40"/>
    <x v="3"/>
    <n v="3"/>
    <n v="17"/>
    <x v="0"/>
    <x v="3"/>
    <x v="0"/>
    <x v="1"/>
    <n v="15"/>
    <n v="24"/>
    <n v="98399"/>
    <n v="11200"/>
    <n v="14.5"/>
    <x v="0"/>
  </r>
  <r>
    <s v="EMP1042"/>
    <s v="William Brown"/>
    <x v="6"/>
    <x v="2"/>
    <s v="Bachelor's"/>
    <s v="Dallas"/>
    <x v="1"/>
    <s v="Sales Manager"/>
    <x v="0"/>
    <x v="41"/>
    <x v="0"/>
    <n v="1"/>
    <n v="7"/>
    <x v="0"/>
    <x v="4"/>
    <x v="4"/>
    <x v="1"/>
    <n v="24"/>
    <n v="18"/>
    <n v="67859"/>
    <n v="9600"/>
    <n v="11.7"/>
    <x v="0"/>
  </r>
  <r>
    <s v="EMP1043"/>
    <s v="Daniel Johnson"/>
    <x v="7"/>
    <x v="2"/>
    <s v="Bachelor's"/>
    <s v="Dallas"/>
    <x v="2"/>
    <s v="Tech Lead"/>
    <x v="0"/>
    <x v="42"/>
    <x v="0"/>
    <n v="1"/>
    <n v="9"/>
    <x v="1"/>
    <x v="0"/>
    <x v="1"/>
    <x v="0"/>
    <n v="3"/>
    <n v="52"/>
    <n v="105537"/>
    <n v="3400"/>
    <n v="4.5999999999999996"/>
    <x v="0"/>
  </r>
  <r>
    <s v="EMP1044"/>
    <s v="Patricia Hernandez"/>
    <x v="0"/>
    <x v="1"/>
    <s v="Master's"/>
    <s v="Los Angeles"/>
    <x v="2"/>
    <s v="Tech Lead"/>
    <x v="0"/>
    <x v="43"/>
    <x v="1"/>
    <n v="2"/>
    <n v="6"/>
    <x v="0"/>
    <x v="0"/>
    <x v="0"/>
    <x v="1"/>
    <n v="23"/>
    <n v="4"/>
    <n v="132350"/>
    <n v="14000"/>
    <n v="14.6"/>
    <x v="0"/>
  </r>
  <r>
    <s v="EMP1045"/>
    <s v="Anthony Williams"/>
    <x v="23"/>
    <x v="2"/>
    <s v="Diploma"/>
    <s v="Phoenix"/>
    <x v="1"/>
    <s v="Sales Manager"/>
    <x v="0"/>
    <x v="44"/>
    <x v="3"/>
    <n v="3"/>
    <n v="16"/>
    <x v="3"/>
    <x v="2"/>
    <x v="0"/>
    <x v="1"/>
    <n v="15"/>
    <n v="17"/>
    <n v="63970"/>
    <n v="3600"/>
    <n v="9.8000000000000007"/>
    <x v="0"/>
  </r>
  <r>
    <s v="EMP1046"/>
    <s v="Matthew Johnson"/>
    <x v="5"/>
    <x v="2"/>
    <s v="Master's"/>
    <s v="San Antonio"/>
    <x v="2"/>
    <s v="DevOps Engineer"/>
    <x v="2"/>
    <x v="45"/>
    <x v="0"/>
    <n v="1"/>
    <n v="15"/>
    <x v="3"/>
    <x v="2"/>
    <x v="4"/>
    <x v="0"/>
    <n v="2"/>
    <n v="51"/>
    <n v="71846"/>
    <n v="5600"/>
    <n v="9.8000000000000007"/>
    <x v="0"/>
  </r>
  <r>
    <s v="EMP1047"/>
    <s v="Robert Davis"/>
    <x v="10"/>
    <x v="2"/>
    <s v="Bachelor's"/>
    <s v="Philadelphia"/>
    <x v="1"/>
    <s v="Sales Executive"/>
    <x v="0"/>
    <x v="46"/>
    <x v="0"/>
    <n v="1"/>
    <n v="9"/>
    <x v="0"/>
    <x v="1"/>
    <x v="1"/>
    <x v="0"/>
    <n v="14"/>
    <n v="39"/>
    <n v="94398"/>
    <n v="10600"/>
    <n v="10"/>
    <x v="0"/>
  </r>
  <r>
    <s v="EMP1048"/>
    <s v="Thomas Anderson"/>
    <x v="10"/>
    <x v="2"/>
    <s v="Master's"/>
    <s v="San Diego"/>
    <x v="2"/>
    <s v="Senior Engineer"/>
    <x v="0"/>
    <x v="47"/>
    <x v="0"/>
    <n v="1"/>
    <n v="10"/>
    <x v="1"/>
    <x v="0"/>
    <x v="3"/>
    <x v="1"/>
    <n v="21"/>
    <n v="76"/>
    <n v="98721"/>
    <n v="2900"/>
    <n v="8.5"/>
    <x v="0"/>
  </r>
  <r>
    <s v="EMP1049"/>
    <s v="Sarah Lopez"/>
    <x v="24"/>
    <x v="1"/>
    <s v="PhD"/>
    <s v="Houston"/>
    <x v="0"/>
    <s v="Financial Analyst"/>
    <x v="0"/>
    <x v="48"/>
    <x v="0"/>
    <n v="1"/>
    <n v="4"/>
    <x v="0"/>
    <x v="4"/>
    <x v="1"/>
    <x v="1"/>
    <n v="16"/>
    <n v="57"/>
    <n v="88127"/>
    <n v="10700"/>
    <n v="5"/>
    <x v="0"/>
  </r>
  <r>
    <s v="EMP1050"/>
    <s v="Thomas Miller"/>
    <x v="9"/>
    <x v="2"/>
    <s v="Master's"/>
    <s v="New York"/>
    <x v="2"/>
    <s v="Software Engineer"/>
    <x v="0"/>
    <x v="49"/>
    <x v="2"/>
    <n v="0"/>
    <n v="18"/>
    <x v="3"/>
    <x v="1"/>
    <x v="0"/>
    <x v="1"/>
    <n v="1"/>
    <n v="8"/>
    <n v="110392"/>
    <n v="7400"/>
    <n v="12.8"/>
    <x v="0"/>
  </r>
  <r>
    <s v="EMP1051"/>
    <s v="Richard Williams"/>
    <x v="5"/>
    <x v="2"/>
    <s v="High School"/>
    <s v="Dallas"/>
    <x v="2"/>
    <s v="DevOps Engineer"/>
    <x v="0"/>
    <x v="50"/>
    <x v="1"/>
    <n v="2"/>
    <n v="14"/>
    <x v="0"/>
    <x v="3"/>
    <x v="1"/>
    <x v="1"/>
    <n v="5"/>
    <n v="68"/>
    <n v="120132"/>
    <n v="16800"/>
    <n v="7.5"/>
    <x v="1"/>
  </r>
  <r>
    <s v="EMP1052"/>
    <s v="Nancy Brown"/>
    <x v="11"/>
    <x v="1"/>
    <s v="Bachelor's"/>
    <s v="Los Angeles"/>
    <x v="2"/>
    <s v="DevOps Engineer"/>
    <x v="0"/>
    <x v="51"/>
    <x v="3"/>
    <n v="3"/>
    <n v="15"/>
    <x v="3"/>
    <x v="4"/>
    <x v="0"/>
    <x v="1"/>
    <n v="24"/>
    <n v="2"/>
    <n v="119712"/>
    <n v="7500"/>
    <n v="7.2"/>
    <x v="0"/>
  </r>
  <r>
    <s v="EMP1053"/>
    <s v="John Martinez"/>
    <x v="1"/>
    <x v="2"/>
    <s v="Master's"/>
    <s v="Phoenix"/>
    <x v="2"/>
    <s v="Senior Engineer"/>
    <x v="0"/>
    <x v="52"/>
    <x v="3"/>
    <n v="3"/>
    <n v="2"/>
    <x v="0"/>
    <x v="2"/>
    <x v="4"/>
    <x v="0"/>
    <n v="18"/>
    <n v="76"/>
    <n v="122725"/>
    <n v="15000"/>
    <n v="12.1"/>
    <x v="0"/>
  </r>
  <r>
    <s v="EMP1054"/>
    <s v="Mark Williams"/>
    <x v="8"/>
    <x v="2"/>
    <s v="Master's"/>
    <s v="Philadelphia"/>
    <x v="7"/>
    <s v="IT Manager"/>
    <x v="1"/>
    <x v="53"/>
    <x v="1"/>
    <n v="2"/>
    <n v="9"/>
    <x v="3"/>
    <x v="4"/>
    <x v="0"/>
    <x v="1"/>
    <n v="10"/>
    <n v="53"/>
    <n v="93775"/>
    <n v="7600"/>
    <n v="10.5"/>
    <x v="0"/>
  </r>
  <r>
    <s v="EMP1055"/>
    <s v="Richard Williams"/>
    <x v="0"/>
    <x v="2"/>
    <s v="Diploma"/>
    <s v="Chicago"/>
    <x v="0"/>
    <s v="Controller"/>
    <x v="0"/>
    <x v="54"/>
    <x v="2"/>
    <n v="0"/>
    <n v="8"/>
    <x v="3"/>
    <x v="3"/>
    <x v="3"/>
    <x v="1"/>
    <n v="10"/>
    <n v="10"/>
    <n v="64460"/>
    <n v="5300"/>
    <n v="9.6999999999999993"/>
    <x v="0"/>
  </r>
  <r>
    <s v="EMP1056"/>
    <s v="Patricia Rodriguez"/>
    <x v="3"/>
    <x v="1"/>
    <s v="Diploma"/>
    <s v="Philadelphia"/>
    <x v="6"/>
    <s v="L&amp;D Specialist"/>
    <x v="0"/>
    <x v="55"/>
    <x v="1"/>
    <n v="2"/>
    <n v="13"/>
    <x v="3"/>
    <x v="1"/>
    <x v="3"/>
    <x v="0"/>
    <n v="6"/>
    <n v="15"/>
    <n v="52331"/>
    <n v="3800"/>
    <n v="11.1"/>
    <x v="0"/>
  </r>
  <r>
    <s v="EMP1057"/>
    <s v="Nancy Martinez"/>
    <x v="11"/>
    <x v="1"/>
    <s v="PhD"/>
    <s v="San Diego"/>
    <x v="1"/>
    <s v="Business Development Rep"/>
    <x v="0"/>
    <x v="56"/>
    <x v="1"/>
    <n v="2"/>
    <n v="18"/>
    <x v="0"/>
    <x v="4"/>
    <x v="4"/>
    <x v="1"/>
    <n v="6"/>
    <n v="47"/>
    <n v="69947"/>
    <n v="8900"/>
    <n v="6.7"/>
    <x v="0"/>
  </r>
  <r>
    <s v="EMP1058"/>
    <s v="Charles Wilson"/>
    <x v="1"/>
    <x v="2"/>
    <s v="Master's"/>
    <s v="Houston"/>
    <x v="0"/>
    <s v="Accountant"/>
    <x v="0"/>
    <x v="22"/>
    <x v="1"/>
    <n v="2"/>
    <n v="1"/>
    <x v="0"/>
    <x v="3"/>
    <x v="4"/>
    <x v="1"/>
    <n v="24"/>
    <n v="62"/>
    <n v="93275"/>
    <n v="10800"/>
    <n v="4.8"/>
    <x v="0"/>
  </r>
  <r>
    <s v="EMP1059"/>
    <s v="Daniel Gonzalez"/>
    <x v="9"/>
    <x v="2"/>
    <s v="Bachelor's"/>
    <s v="New York"/>
    <x v="1"/>
    <s v="Business Development Rep"/>
    <x v="0"/>
    <x v="57"/>
    <x v="0"/>
    <n v="1"/>
    <n v="18"/>
    <x v="1"/>
    <x v="4"/>
    <x v="3"/>
    <x v="1"/>
    <n v="20"/>
    <n v="29"/>
    <n v="80529"/>
    <n v="2900"/>
    <n v="9.3000000000000007"/>
    <x v="1"/>
  </r>
  <r>
    <s v="EMP1060"/>
    <s v="Mary Brown"/>
    <x v="17"/>
    <x v="1"/>
    <s v="Master's"/>
    <s v="Phoenix"/>
    <x v="2"/>
    <s v="Software Engineer"/>
    <x v="0"/>
    <x v="58"/>
    <x v="2"/>
    <n v="0"/>
    <n v="20"/>
    <x v="2"/>
    <x v="4"/>
    <x v="3"/>
    <x v="0"/>
    <n v="3"/>
    <n v="12"/>
    <n v="72061"/>
    <n v="14700"/>
    <n v="3.1"/>
    <x v="0"/>
  </r>
  <r>
    <s v="EMP1061"/>
    <s v="Charles Rodriguez"/>
    <x v="6"/>
    <x v="2"/>
    <s v="Bachelor's"/>
    <s v="Los Angeles"/>
    <x v="7"/>
    <s v="Network Engineer"/>
    <x v="0"/>
    <x v="59"/>
    <x v="0"/>
    <n v="1"/>
    <n v="13"/>
    <x v="0"/>
    <x v="1"/>
    <x v="1"/>
    <x v="1"/>
    <n v="12"/>
    <n v="48"/>
    <n v="81609"/>
    <n v="8800"/>
    <n v="11.4"/>
    <x v="0"/>
  </r>
  <r>
    <s v="EMP1062"/>
    <s v="Mary Hernandez"/>
    <x v="2"/>
    <x v="1"/>
    <s v="PhD"/>
    <s v="New York"/>
    <x v="0"/>
    <s v="Controller"/>
    <x v="0"/>
    <x v="60"/>
    <x v="3"/>
    <n v="3"/>
    <n v="3"/>
    <x v="3"/>
    <x v="2"/>
    <x v="2"/>
    <x v="1"/>
    <n v="8"/>
    <n v="5"/>
    <n v="97264"/>
    <n v="7000"/>
    <n v="13.3"/>
    <x v="1"/>
  </r>
  <r>
    <s v="EMP1063"/>
    <s v="Barbara Anderson"/>
    <x v="14"/>
    <x v="1"/>
    <s v="High School"/>
    <s v="San Jose"/>
    <x v="6"/>
    <s v="HR Executive"/>
    <x v="0"/>
    <x v="61"/>
    <x v="3"/>
    <n v="3"/>
    <n v="11"/>
    <x v="2"/>
    <x v="4"/>
    <x v="0"/>
    <x v="0"/>
    <n v="10"/>
    <n v="49"/>
    <n v="78471"/>
    <n v="17700"/>
    <n v="12.9"/>
    <x v="0"/>
  </r>
  <r>
    <s v="EMP1064"/>
    <s v="Nancy Lopez"/>
    <x v="0"/>
    <x v="1"/>
    <s v="Bachelor's"/>
    <s v="Philadelphia"/>
    <x v="0"/>
    <s v="Finance Manager"/>
    <x v="0"/>
    <x v="62"/>
    <x v="3"/>
    <n v="3"/>
    <n v="12"/>
    <x v="3"/>
    <x v="3"/>
    <x v="2"/>
    <x v="1"/>
    <n v="15"/>
    <n v="29"/>
    <n v="70213"/>
    <n v="4600"/>
    <n v="12.2"/>
    <x v="0"/>
  </r>
  <r>
    <s v="EMP1065"/>
    <s v="Susan Miller"/>
    <x v="6"/>
    <x v="1"/>
    <s v="PhD"/>
    <s v="Chicago"/>
    <x v="3"/>
    <s v="Supply Chain Analyst"/>
    <x v="0"/>
    <x v="63"/>
    <x v="1"/>
    <n v="2"/>
    <n v="13"/>
    <x v="3"/>
    <x v="3"/>
    <x v="4"/>
    <x v="1"/>
    <n v="3"/>
    <n v="11"/>
    <n v="64357"/>
    <n v="4900"/>
    <n v="4"/>
    <x v="0"/>
  </r>
  <r>
    <s v="EMP1066"/>
    <s v="Jessica Garcia"/>
    <x v="1"/>
    <x v="1"/>
    <s v="Bachelor's"/>
    <s v="San Jose"/>
    <x v="3"/>
    <s v="Operations Analyst"/>
    <x v="0"/>
    <x v="64"/>
    <x v="0"/>
    <n v="1"/>
    <n v="3"/>
    <x v="0"/>
    <x v="4"/>
    <x v="1"/>
    <x v="0"/>
    <n v="9"/>
    <n v="52"/>
    <n v="81502"/>
    <n v="9400"/>
    <n v="3.3"/>
    <x v="0"/>
  </r>
  <r>
    <s v="EMP1067"/>
    <s v="Nancy Anderson"/>
    <x v="0"/>
    <x v="1"/>
    <s v="Bachelor's"/>
    <s v="San Diego"/>
    <x v="2"/>
    <s v="DevOps Engineer"/>
    <x v="0"/>
    <x v="65"/>
    <x v="1"/>
    <n v="2"/>
    <n v="6"/>
    <x v="0"/>
    <x v="3"/>
    <x v="4"/>
    <x v="1"/>
    <n v="7"/>
    <n v="80"/>
    <n v="105247"/>
    <n v="12600"/>
    <n v="3.8"/>
    <x v="0"/>
  </r>
  <r>
    <s v="EMP1068"/>
    <s v="Linda Davis"/>
    <x v="15"/>
    <x v="1"/>
    <s v="Bachelor's"/>
    <s v="San Jose"/>
    <x v="1"/>
    <s v="Business Development Rep"/>
    <x v="0"/>
    <x v="66"/>
    <x v="3"/>
    <n v="3"/>
    <n v="1"/>
    <x v="0"/>
    <x v="3"/>
    <x v="0"/>
    <x v="1"/>
    <n v="22"/>
    <n v="25"/>
    <n v="85644"/>
    <n v="11800"/>
    <n v="8.3000000000000007"/>
    <x v="0"/>
  </r>
  <r>
    <s v="EMP1069"/>
    <s v="Richard Garcia"/>
    <x v="5"/>
    <x v="2"/>
    <s v="Bachelor's"/>
    <s v="Dallas"/>
    <x v="2"/>
    <s v="DevOps Engineer"/>
    <x v="0"/>
    <x v="67"/>
    <x v="0"/>
    <n v="1"/>
    <n v="16"/>
    <x v="3"/>
    <x v="2"/>
    <x v="1"/>
    <x v="1"/>
    <n v="23"/>
    <n v="59"/>
    <n v="106739"/>
    <n v="7200"/>
    <n v="4.4000000000000004"/>
    <x v="0"/>
  </r>
  <r>
    <s v="EMP1070"/>
    <s v="William Wilson"/>
    <x v="23"/>
    <x v="2"/>
    <s v="Master's"/>
    <s v="San Jose"/>
    <x v="2"/>
    <s v="Senior Engineer"/>
    <x v="0"/>
    <x v="68"/>
    <x v="3"/>
    <n v="3"/>
    <n v="16"/>
    <x v="0"/>
    <x v="4"/>
    <x v="0"/>
    <x v="1"/>
    <n v="16"/>
    <n v="53"/>
    <n v="101722"/>
    <n v="10500"/>
    <n v="8.1"/>
    <x v="0"/>
  </r>
  <r>
    <s v="EMP1071"/>
    <s v="Elizabeth Lopez"/>
    <x v="3"/>
    <x v="1"/>
    <s v="Bachelor's"/>
    <s v="San Antonio"/>
    <x v="2"/>
    <s v="Software Engineer"/>
    <x v="0"/>
    <x v="69"/>
    <x v="3"/>
    <n v="3"/>
    <n v="8"/>
    <x v="0"/>
    <x v="1"/>
    <x v="4"/>
    <x v="1"/>
    <n v="7"/>
    <n v="65"/>
    <n v="75806"/>
    <n v="9600"/>
    <n v="10.8"/>
    <x v="0"/>
  </r>
  <r>
    <s v="EMP1072"/>
    <s v="Richard Davis"/>
    <x v="20"/>
    <x v="2"/>
    <s v="Bachelor's"/>
    <s v="Houston"/>
    <x v="7"/>
    <s v="Network Engineer"/>
    <x v="0"/>
    <x v="70"/>
    <x v="1"/>
    <n v="2"/>
    <n v="16"/>
    <x v="2"/>
    <x v="3"/>
    <x v="2"/>
    <x v="1"/>
    <n v="3"/>
    <n v="56"/>
    <n v="60626"/>
    <n v="14300"/>
    <n v="4.7"/>
    <x v="0"/>
  </r>
  <r>
    <s v="EMP1073"/>
    <s v="William Smith"/>
    <x v="0"/>
    <x v="2"/>
    <s v="Master's"/>
    <s v="San Diego"/>
    <x v="4"/>
    <s v="Support Analyst"/>
    <x v="0"/>
    <x v="71"/>
    <x v="3"/>
    <n v="3"/>
    <n v="11"/>
    <x v="1"/>
    <x v="4"/>
    <x v="3"/>
    <x v="1"/>
    <n v="5"/>
    <n v="55"/>
    <n v="40385"/>
    <n v="1300"/>
    <n v="9.1999999999999993"/>
    <x v="0"/>
  </r>
  <r>
    <s v="EMP1074"/>
    <s v="Charles Anderson"/>
    <x v="12"/>
    <x v="2"/>
    <s v="Bachelor's"/>
    <s v="Dallas"/>
    <x v="2"/>
    <s v="DevOps Engineer"/>
    <x v="0"/>
    <x v="72"/>
    <x v="1"/>
    <n v="2"/>
    <n v="14"/>
    <x v="0"/>
    <x v="3"/>
    <x v="3"/>
    <x v="0"/>
    <n v="14"/>
    <n v="14"/>
    <n v="98153"/>
    <n v="13000"/>
    <n v="12.7"/>
    <x v="1"/>
  </r>
  <r>
    <s v="EMP1075"/>
    <s v="Jessica Rodriguez"/>
    <x v="19"/>
    <x v="1"/>
    <s v="Master's"/>
    <s v="San Jose"/>
    <x v="0"/>
    <s v="Accountant"/>
    <x v="0"/>
    <x v="73"/>
    <x v="0"/>
    <n v="1"/>
    <n v="20"/>
    <x v="0"/>
    <x v="0"/>
    <x v="4"/>
    <x v="1"/>
    <n v="3"/>
    <n v="30"/>
    <n v="77801"/>
    <n v="9200"/>
    <n v="5.0999999999999996"/>
    <x v="0"/>
  </r>
  <r>
    <s v="EMP1076"/>
    <s v="David Lopez"/>
    <x v="7"/>
    <x v="2"/>
    <s v="Master's"/>
    <s v="Dallas"/>
    <x v="2"/>
    <s v="Tech Lead"/>
    <x v="0"/>
    <x v="74"/>
    <x v="1"/>
    <n v="2"/>
    <n v="14"/>
    <x v="2"/>
    <x v="3"/>
    <x v="3"/>
    <x v="1"/>
    <n v="5"/>
    <n v="40"/>
    <n v="125448"/>
    <n v="26400"/>
    <n v="11.3"/>
    <x v="0"/>
  </r>
  <r>
    <s v="EMP1077"/>
    <s v="Margaret Garcia"/>
    <x v="3"/>
    <x v="1"/>
    <s v="High School"/>
    <s v="Chicago"/>
    <x v="4"/>
    <s v="Support Analyst"/>
    <x v="0"/>
    <x v="75"/>
    <x v="3"/>
    <n v="3"/>
    <n v="7"/>
    <x v="3"/>
    <x v="1"/>
    <x v="3"/>
    <x v="1"/>
    <n v="9"/>
    <n v="4"/>
    <n v="51562"/>
    <n v="3500"/>
    <n v="8.9"/>
    <x v="0"/>
  </r>
  <r>
    <s v="EMP1078"/>
    <s v="William Williams"/>
    <x v="13"/>
    <x v="2"/>
    <s v="Master's"/>
    <s v="New York"/>
    <x v="5"/>
    <s v="Content Strategist"/>
    <x v="0"/>
    <x v="76"/>
    <x v="2"/>
    <n v="0"/>
    <n v="16"/>
    <x v="2"/>
    <x v="4"/>
    <x v="0"/>
    <x v="1"/>
    <n v="6"/>
    <n v="54"/>
    <n v="82533"/>
    <n v="18300"/>
    <n v="12.9"/>
    <x v="0"/>
  </r>
  <r>
    <s v="EMP1079"/>
    <s v="Lisa Gonzalez"/>
    <x v="8"/>
    <x v="1"/>
    <s v="Bachelor's"/>
    <s v="San Jose"/>
    <x v="2"/>
    <s v="Software Engineer"/>
    <x v="0"/>
    <x v="77"/>
    <x v="1"/>
    <n v="2"/>
    <n v="2"/>
    <x v="0"/>
    <x v="2"/>
    <x v="2"/>
    <x v="1"/>
    <n v="5"/>
    <n v="78"/>
    <n v="81401"/>
    <n v="11700"/>
    <n v="12.3"/>
    <x v="0"/>
  </r>
  <r>
    <s v="EMP1080"/>
    <s v="Margaret Brown"/>
    <x v="25"/>
    <x v="1"/>
    <s v="Master's"/>
    <s v="Los Angeles"/>
    <x v="2"/>
    <s v="Senior Engineer"/>
    <x v="0"/>
    <x v="78"/>
    <x v="3"/>
    <n v="3"/>
    <n v="18"/>
    <x v="0"/>
    <x v="4"/>
    <x v="1"/>
    <x v="1"/>
    <n v="8"/>
    <n v="16"/>
    <n v="92069"/>
    <n v="12000"/>
    <n v="6.5"/>
    <x v="0"/>
  </r>
  <r>
    <s v="EMP1081"/>
    <s v="Daniel Garcia"/>
    <x v="23"/>
    <x v="2"/>
    <s v="Master's"/>
    <s v="San Antonio"/>
    <x v="6"/>
    <s v="HR Manager"/>
    <x v="0"/>
    <x v="79"/>
    <x v="1"/>
    <n v="2"/>
    <n v="16"/>
    <x v="0"/>
    <x v="3"/>
    <x v="4"/>
    <x v="1"/>
    <n v="14"/>
    <n v="62"/>
    <n v="57610"/>
    <n v="6600"/>
    <n v="3.9"/>
    <x v="0"/>
  </r>
  <r>
    <s v="EMP1082"/>
    <s v="Margaret Gonzalez"/>
    <x v="3"/>
    <x v="1"/>
    <s v="PhD"/>
    <s v="Philadelphia"/>
    <x v="2"/>
    <s v="Tech Lead"/>
    <x v="0"/>
    <x v="80"/>
    <x v="3"/>
    <n v="3"/>
    <n v="12"/>
    <x v="0"/>
    <x v="0"/>
    <x v="0"/>
    <x v="1"/>
    <n v="15"/>
    <n v="43"/>
    <n v="122129"/>
    <n v="14200"/>
    <n v="5.5"/>
    <x v="0"/>
  </r>
  <r>
    <s v="EMP1083"/>
    <s v="Christopher Gonzalez"/>
    <x v="3"/>
    <x v="2"/>
    <s v="Master's"/>
    <s v="Phoenix"/>
    <x v="6"/>
    <s v="HR Executive"/>
    <x v="0"/>
    <x v="81"/>
    <x v="2"/>
    <n v="0"/>
    <n v="6"/>
    <x v="0"/>
    <x v="3"/>
    <x v="4"/>
    <x v="0"/>
    <n v="2"/>
    <n v="47"/>
    <n v="68036"/>
    <n v="8800"/>
    <n v="4.5999999999999996"/>
    <x v="0"/>
  </r>
  <r>
    <s v="EMP1084"/>
    <s v="Christopher Jones"/>
    <x v="24"/>
    <x v="2"/>
    <s v="Bachelor's"/>
    <s v="Philadelphia"/>
    <x v="4"/>
    <s v="Support Lead"/>
    <x v="2"/>
    <x v="82"/>
    <x v="1"/>
    <n v="2"/>
    <n v="3"/>
    <x v="2"/>
    <x v="4"/>
    <x v="3"/>
    <x v="0"/>
    <n v="15"/>
    <n v="9"/>
    <n v="50624"/>
    <n v="10500"/>
    <n v="9.1999999999999993"/>
    <x v="0"/>
  </r>
  <r>
    <s v="EMP1085"/>
    <s v="Daniel Gonzalez"/>
    <x v="7"/>
    <x v="2"/>
    <s v="Bachelor's"/>
    <s v="Chicago"/>
    <x v="2"/>
    <s v="Senior Engineer"/>
    <x v="0"/>
    <x v="83"/>
    <x v="3"/>
    <n v="3"/>
    <n v="12"/>
    <x v="0"/>
    <x v="0"/>
    <x v="3"/>
    <x v="1"/>
    <n v="13"/>
    <n v="78"/>
    <n v="87451"/>
    <n v="11200"/>
    <n v="3.8"/>
    <x v="0"/>
  </r>
  <r>
    <s v="EMP1086"/>
    <s v="Patricia Anderson"/>
    <x v="2"/>
    <x v="1"/>
    <s v="Bachelor's"/>
    <s v="San Jose"/>
    <x v="2"/>
    <s v="DevOps Engineer"/>
    <x v="0"/>
    <x v="12"/>
    <x v="3"/>
    <n v="3"/>
    <n v="4"/>
    <x v="0"/>
    <x v="3"/>
    <x v="1"/>
    <x v="1"/>
    <n v="21"/>
    <n v="38"/>
    <n v="126280"/>
    <n v="13000"/>
    <n v="6.3"/>
    <x v="1"/>
  </r>
  <r>
    <s v="EMP1087"/>
    <s v="Thomas Brown"/>
    <x v="1"/>
    <x v="2"/>
    <s v="Master's"/>
    <s v="Philadelphia"/>
    <x v="7"/>
    <s v="Network Engineer"/>
    <x v="1"/>
    <x v="84"/>
    <x v="2"/>
    <n v="0"/>
    <n v="2"/>
    <x v="0"/>
    <x v="0"/>
    <x v="2"/>
    <x v="0"/>
    <n v="18"/>
    <n v="53"/>
    <n v="62388"/>
    <n v="7900"/>
    <n v="3.9"/>
    <x v="0"/>
  </r>
  <r>
    <s v="EMP1088"/>
    <s v="Jennifer Gonzalez"/>
    <x v="12"/>
    <x v="1"/>
    <s v="Bachelor's"/>
    <s v="Dallas"/>
    <x v="5"/>
    <s v="Content Strategist"/>
    <x v="0"/>
    <x v="85"/>
    <x v="2"/>
    <n v="0"/>
    <n v="19"/>
    <x v="2"/>
    <x v="4"/>
    <x v="2"/>
    <x v="1"/>
    <n v="2"/>
    <n v="68"/>
    <n v="59138"/>
    <n v="9700"/>
    <n v="12.5"/>
    <x v="0"/>
  </r>
  <r>
    <s v="EMP1089"/>
    <s v="William Johnson"/>
    <x v="20"/>
    <x v="2"/>
    <s v="Master's"/>
    <s v="New York"/>
    <x v="1"/>
    <s v="Sales Manager"/>
    <x v="0"/>
    <x v="86"/>
    <x v="1"/>
    <n v="2"/>
    <n v="11"/>
    <x v="3"/>
    <x v="4"/>
    <x v="1"/>
    <x v="1"/>
    <n v="14"/>
    <n v="78"/>
    <n v="87587"/>
    <n v="5100"/>
    <n v="11.4"/>
    <x v="0"/>
  </r>
  <r>
    <s v="EMP1090"/>
    <s v="Daniel Hernandez"/>
    <x v="1"/>
    <x v="2"/>
    <s v="Bachelor's"/>
    <s v="Phoenix"/>
    <x v="1"/>
    <s v="Sales Executive"/>
    <x v="0"/>
    <x v="87"/>
    <x v="1"/>
    <n v="2"/>
    <n v="5"/>
    <x v="0"/>
    <x v="1"/>
    <x v="1"/>
    <x v="0"/>
    <n v="10"/>
    <n v="54"/>
    <n v="67721"/>
    <n v="9000"/>
    <n v="11.6"/>
    <x v="0"/>
  </r>
  <r>
    <s v="EMP1091"/>
    <s v="Barbara Lopez"/>
    <x v="25"/>
    <x v="1"/>
    <s v="Bachelor's"/>
    <s v="Los Angeles"/>
    <x v="1"/>
    <s v="Account Manager"/>
    <x v="0"/>
    <x v="88"/>
    <x v="3"/>
    <n v="3"/>
    <n v="17"/>
    <x v="2"/>
    <x v="2"/>
    <x v="1"/>
    <x v="1"/>
    <n v="1"/>
    <n v="1"/>
    <n v="82151"/>
    <n v="14200"/>
    <n v="12.3"/>
    <x v="0"/>
  </r>
  <r>
    <s v="EMP1092"/>
    <s v="David Miller"/>
    <x v="2"/>
    <x v="2"/>
    <s v="PhD"/>
    <s v="San Jose"/>
    <x v="6"/>
    <s v="HR Manager"/>
    <x v="0"/>
    <x v="89"/>
    <x v="1"/>
    <n v="2"/>
    <n v="2"/>
    <x v="0"/>
    <x v="2"/>
    <x v="1"/>
    <x v="1"/>
    <n v="5"/>
    <n v="28"/>
    <n v="67483"/>
    <n v="7300"/>
    <n v="14"/>
    <x v="0"/>
  </r>
  <r>
    <s v="EMP1093"/>
    <s v="Patricia Anderson"/>
    <x v="10"/>
    <x v="1"/>
    <s v="Bachelor's"/>
    <s v="San Diego"/>
    <x v="3"/>
    <s v="Operations Analyst"/>
    <x v="0"/>
    <x v="90"/>
    <x v="2"/>
    <n v="0"/>
    <n v="10"/>
    <x v="2"/>
    <x v="4"/>
    <x v="3"/>
    <x v="1"/>
    <n v="23"/>
    <n v="69"/>
    <n v="74933"/>
    <n v="13200"/>
    <n v="9.8000000000000007"/>
    <x v="0"/>
  </r>
  <r>
    <s v="EMP1094"/>
    <s v="Mark Miller"/>
    <x v="0"/>
    <x v="2"/>
    <s v="High School"/>
    <s v="Houston"/>
    <x v="2"/>
    <s v="Senior Engineer"/>
    <x v="0"/>
    <x v="91"/>
    <x v="3"/>
    <n v="3"/>
    <n v="12"/>
    <x v="3"/>
    <x v="1"/>
    <x v="3"/>
    <x v="0"/>
    <n v="22"/>
    <n v="35"/>
    <n v="70191"/>
    <n v="4700"/>
    <n v="11.9"/>
    <x v="0"/>
  </r>
  <r>
    <s v="EMP1095"/>
    <s v="Michael Anderson"/>
    <x v="7"/>
    <x v="2"/>
    <s v="Master's"/>
    <s v="Chicago"/>
    <x v="1"/>
    <s v="Sales Executive"/>
    <x v="0"/>
    <x v="92"/>
    <x v="2"/>
    <n v="0"/>
    <n v="15"/>
    <x v="2"/>
    <x v="3"/>
    <x v="4"/>
    <x v="1"/>
    <n v="12"/>
    <n v="41"/>
    <n v="78123"/>
    <n v="17600"/>
    <n v="3.9"/>
    <x v="0"/>
  </r>
  <r>
    <s v="EMP1096"/>
    <s v="Michael Johnson"/>
    <x v="12"/>
    <x v="2"/>
    <s v="Bachelor's"/>
    <s v="San Diego"/>
    <x v="2"/>
    <s v="Tech Lead"/>
    <x v="0"/>
    <x v="93"/>
    <x v="1"/>
    <n v="2"/>
    <n v="19"/>
    <x v="0"/>
    <x v="3"/>
    <x v="1"/>
    <x v="1"/>
    <n v="2"/>
    <n v="20"/>
    <n v="91544"/>
    <n v="10200"/>
    <n v="4.4000000000000004"/>
    <x v="0"/>
  </r>
  <r>
    <s v="EMP1097"/>
    <s v="Nancy Martinez"/>
    <x v="3"/>
    <x v="1"/>
    <s v="Bachelor's"/>
    <s v="Chicago"/>
    <x v="7"/>
    <s v="IT Manager"/>
    <x v="0"/>
    <x v="94"/>
    <x v="3"/>
    <n v="3"/>
    <n v="11"/>
    <x v="1"/>
    <x v="4"/>
    <x v="2"/>
    <x v="1"/>
    <n v="17"/>
    <n v="70"/>
    <n v="71267"/>
    <n v="2000"/>
    <n v="3.6"/>
    <x v="1"/>
  </r>
  <r>
    <s v="EMP1098"/>
    <s v="John Gonzalez"/>
    <x v="1"/>
    <x v="2"/>
    <s v="Bachelor's"/>
    <s v="Los Angeles"/>
    <x v="5"/>
    <s v="Marketing Manager"/>
    <x v="0"/>
    <x v="87"/>
    <x v="1"/>
    <n v="2"/>
    <n v="2"/>
    <x v="0"/>
    <x v="1"/>
    <x v="3"/>
    <x v="0"/>
    <n v="20"/>
    <n v="56"/>
    <n v="71252"/>
    <n v="9000"/>
    <n v="10.7"/>
    <x v="0"/>
  </r>
  <r>
    <s v="EMP1099"/>
    <s v="Anthony Wilson"/>
    <x v="10"/>
    <x v="2"/>
    <s v="Bachelor's"/>
    <s v="Philadelphia"/>
    <x v="7"/>
    <s v="Network Engineer"/>
    <x v="0"/>
    <x v="95"/>
    <x v="0"/>
    <n v="1"/>
    <n v="15"/>
    <x v="0"/>
    <x v="0"/>
    <x v="4"/>
    <x v="1"/>
    <n v="8"/>
    <n v="57"/>
    <n v="92610"/>
    <n v="12100"/>
    <n v="9"/>
    <x v="0"/>
  </r>
  <r>
    <s v="EMP1100"/>
    <s v="Charles Martinez"/>
    <x v="25"/>
    <x v="2"/>
    <s v="Diploma"/>
    <s v="Dallas"/>
    <x v="4"/>
    <s v="Support Lead"/>
    <x v="0"/>
    <x v="96"/>
    <x v="1"/>
    <n v="2"/>
    <n v="16"/>
    <x v="2"/>
    <x v="2"/>
    <x v="1"/>
    <x v="1"/>
    <n v="12"/>
    <n v="45"/>
    <n v="50696"/>
    <n v="9200"/>
    <n v="4.5999999999999996"/>
    <x v="0"/>
  </r>
  <r>
    <s v="EMP1101"/>
    <s v="Jessica Garcia"/>
    <x v="16"/>
    <x v="1"/>
    <s v="Bachelor's"/>
    <s v="Philadelphia"/>
    <x v="1"/>
    <s v="Business Development Rep"/>
    <x v="0"/>
    <x v="97"/>
    <x v="0"/>
    <n v="1"/>
    <n v="6"/>
    <x v="2"/>
    <x v="0"/>
    <x v="3"/>
    <x v="1"/>
    <n v="3"/>
    <n v="31"/>
    <n v="59353"/>
    <n v="13300"/>
    <n v="6.4"/>
    <x v="0"/>
  </r>
  <r>
    <s v="EMP1102"/>
    <s v="Anthony Gonzalez"/>
    <x v="23"/>
    <x v="2"/>
    <s v="Diploma"/>
    <s v="New York"/>
    <x v="0"/>
    <s v="Finance Manager"/>
    <x v="0"/>
    <x v="98"/>
    <x v="3"/>
    <n v="3"/>
    <n v="13"/>
    <x v="2"/>
    <x v="3"/>
    <x v="0"/>
    <x v="1"/>
    <n v="18"/>
    <n v="18"/>
    <n v="66384"/>
    <n v="13800"/>
    <n v="12.7"/>
    <x v="0"/>
  </r>
  <r>
    <s v="EMP1103"/>
    <s v="Betty Anderson"/>
    <x v="3"/>
    <x v="1"/>
    <s v="Bachelor's"/>
    <s v="Houston"/>
    <x v="0"/>
    <s v="Finance Manager"/>
    <x v="2"/>
    <x v="99"/>
    <x v="2"/>
    <n v="0"/>
    <n v="6"/>
    <x v="0"/>
    <x v="3"/>
    <x v="3"/>
    <x v="1"/>
    <n v="10"/>
    <n v="7"/>
    <n v="58681"/>
    <n v="6200"/>
    <n v="9.3000000000000007"/>
    <x v="1"/>
  </r>
  <r>
    <s v="EMP1104"/>
    <s v="Daniel Anderson"/>
    <x v="25"/>
    <x v="2"/>
    <s v="High School"/>
    <s v="Chicago"/>
    <x v="5"/>
    <s v="Marketing Analyst"/>
    <x v="0"/>
    <x v="100"/>
    <x v="1"/>
    <n v="2"/>
    <n v="17"/>
    <x v="3"/>
    <x v="4"/>
    <x v="2"/>
    <x v="1"/>
    <n v="20"/>
    <n v="40"/>
    <n v="69483"/>
    <n v="5200"/>
    <n v="10"/>
    <x v="0"/>
  </r>
  <r>
    <s v="EMP1105"/>
    <s v="Sarah Lopez"/>
    <x v="4"/>
    <x v="1"/>
    <s v="Bachelor's"/>
    <s v="San Jose"/>
    <x v="2"/>
    <s v="Senior Engineer"/>
    <x v="0"/>
    <x v="101"/>
    <x v="0"/>
    <n v="1"/>
    <n v="19"/>
    <x v="2"/>
    <x v="2"/>
    <x v="4"/>
    <x v="1"/>
    <n v="19"/>
    <n v="28"/>
    <n v="108602"/>
    <n v="23700"/>
    <n v="14.4"/>
    <x v="0"/>
  </r>
  <r>
    <s v="EMP1106"/>
    <s v="Jennifer Garcia"/>
    <x v="3"/>
    <x v="1"/>
    <s v="Master's"/>
    <s v="Houston"/>
    <x v="0"/>
    <s v="Financial Analyst"/>
    <x v="0"/>
    <x v="102"/>
    <x v="3"/>
    <n v="3"/>
    <n v="11"/>
    <x v="3"/>
    <x v="1"/>
    <x v="4"/>
    <x v="0"/>
    <n v="8"/>
    <n v="13"/>
    <n v="60814"/>
    <n v="4500"/>
    <n v="11.8"/>
    <x v="0"/>
  </r>
  <r>
    <s v="EMP1107"/>
    <s v="Joseph Lopez"/>
    <x v="25"/>
    <x v="2"/>
    <s v="Bachelor's"/>
    <s v="Chicago"/>
    <x v="1"/>
    <s v="Sales Executive"/>
    <x v="0"/>
    <x v="103"/>
    <x v="2"/>
    <n v="0"/>
    <n v="16"/>
    <x v="2"/>
    <x v="1"/>
    <x v="4"/>
    <x v="1"/>
    <n v="0"/>
    <n v="40"/>
    <n v="69598"/>
    <n v="13800"/>
    <n v="13.4"/>
    <x v="0"/>
  </r>
  <r>
    <s v="EMP1108"/>
    <s v="Patricia Garcia"/>
    <x v="14"/>
    <x v="1"/>
    <s v="Diploma"/>
    <s v="Chicago"/>
    <x v="2"/>
    <s v="Tech Lead"/>
    <x v="0"/>
    <x v="104"/>
    <x v="1"/>
    <n v="2"/>
    <n v="3"/>
    <x v="0"/>
    <x v="4"/>
    <x v="3"/>
    <x v="1"/>
    <n v="1"/>
    <n v="12"/>
    <n v="82203"/>
    <n v="11800"/>
    <n v="13.7"/>
    <x v="0"/>
  </r>
  <r>
    <s v="EMP1109"/>
    <s v="Michael Miller"/>
    <x v="3"/>
    <x v="2"/>
    <s v="Bachelor's"/>
    <s v="Phoenix"/>
    <x v="5"/>
    <s v="Content Strategist"/>
    <x v="2"/>
    <x v="33"/>
    <x v="0"/>
    <n v="1"/>
    <n v="10"/>
    <x v="0"/>
    <x v="2"/>
    <x v="2"/>
    <x v="1"/>
    <n v="6"/>
    <n v="12"/>
    <n v="70749"/>
    <n v="9600"/>
    <n v="4.8"/>
    <x v="0"/>
  </r>
  <r>
    <s v="EMP1110"/>
    <s v="Christopher Jones"/>
    <x v="21"/>
    <x v="2"/>
    <s v="PhD"/>
    <s v="San Antonio"/>
    <x v="7"/>
    <s v="IT Analyst"/>
    <x v="0"/>
    <x v="105"/>
    <x v="3"/>
    <n v="3"/>
    <n v="4"/>
    <x v="0"/>
    <x v="4"/>
    <x v="1"/>
    <x v="0"/>
    <n v="8"/>
    <n v="56"/>
    <n v="85863"/>
    <n v="11000"/>
    <n v="4.0999999999999996"/>
    <x v="0"/>
  </r>
  <r>
    <s v="EMP1111"/>
    <s v="Anthony Jones"/>
    <x v="1"/>
    <x v="2"/>
    <s v="Master's"/>
    <s v="Dallas"/>
    <x v="4"/>
    <s v="Support Analyst"/>
    <x v="0"/>
    <x v="12"/>
    <x v="3"/>
    <n v="3"/>
    <n v="4"/>
    <x v="0"/>
    <x v="2"/>
    <x v="2"/>
    <x v="1"/>
    <n v="18"/>
    <n v="30"/>
    <n v="61482"/>
    <n v="8800"/>
    <n v="10.1"/>
    <x v="0"/>
  </r>
  <r>
    <s v="EMP1112"/>
    <s v="Richard Anderson"/>
    <x v="5"/>
    <x v="2"/>
    <s v="Bachelor's"/>
    <s v="San Antonio"/>
    <x v="2"/>
    <s v="DevOps Engineer"/>
    <x v="0"/>
    <x v="106"/>
    <x v="3"/>
    <n v="3"/>
    <n v="17"/>
    <x v="2"/>
    <x v="4"/>
    <x v="3"/>
    <x v="0"/>
    <n v="20"/>
    <n v="18"/>
    <n v="128856"/>
    <n v="30800"/>
    <n v="14.7"/>
    <x v="0"/>
  </r>
  <r>
    <s v="EMP1113"/>
    <s v="Daniel Anderson"/>
    <x v="13"/>
    <x v="2"/>
    <s v="Master's"/>
    <s v="San Antonio"/>
    <x v="5"/>
    <s v="Content Strategist"/>
    <x v="0"/>
    <x v="107"/>
    <x v="3"/>
    <n v="3"/>
    <n v="18"/>
    <x v="0"/>
    <x v="0"/>
    <x v="3"/>
    <x v="1"/>
    <n v="18"/>
    <n v="75"/>
    <n v="63101"/>
    <n v="8800"/>
    <n v="3.1"/>
    <x v="0"/>
  </r>
  <r>
    <s v="EMP1114"/>
    <s v="Karen Gonzalez"/>
    <x v="11"/>
    <x v="1"/>
    <s v="Diploma"/>
    <s v="Chicago"/>
    <x v="1"/>
    <s v="Sales Executive"/>
    <x v="0"/>
    <x v="108"/>
    <x v="3"/>
    <n v="3"/>
    <n v="18"/>
    <x v="0"/>
    <x v="4"/>
    <x v="1"/>
    <x v="0"/>
    <n v="12"/>
    <n v="42"/>
    <n v="62310"/>
    <n v="7400"/>
    <n v="10.3"/>
    <x v="1"/>
  </r>
  <r>
    <s v="EMP1115"/>
    <s v="Joseph Anderson"/>
    <x v="10"/>
    <x v="2"/>
    <s v="Bachelor's"/>
    <s v="San Diego"/>
    <x v="4"/>
    <s v="Support Lead"/>
    <x v="0"/>
    <x v="109"/>
    <x v="0"/>
    <n v="1"/>
    <n v="11"/>
    <x v="0"/>
    <x v="3"/>
    <x v="4"/>
    <x v="0"/>
    <n v="23"/>
    <n v="53"/>
    <n v="62618"/>
    <n v="8100"/>
    <n v="4.2"/>
    <x v="0"/>
  </r>
  <r>
    <s v="EMP1116"/>
    <s v="Michael Anderson"/>
    <x v="25"/>
    <x v="2"/>
    <s v="PhD"/>
    <s v="Dallas"/>
    <x v="4"/>
    <s v="Support Executive"/>
    <x v="2"/>
    <x v="110"/>
    <x v="2"/>
    <n v="0"/>
    <n v="17"/>
    <x v="3"/>
    <x v="1"/>
    <x v="3"/>
    <x v="1"/>
    <n v="6"/>
    <n v="25"/>
    <n v="51884"/>
    <n v="3000"/>
    <n v="11.5"/>
    <x v="0"/>
  </r>
  <r>
    <s v="EMP1117"/>
    <s v="Joseph Smith"/>
    <x v="6"/>
    <x v="2"/>
    <s v="PhD"/>
    <s v="San Diego"/>
    <x v="2"/>
    <s v="Software Engineer"/>
    <x v="0"/>
    <x v="111"/>
    <x v="0"/>
    <n v="1"/>
    <n v="9"/>
    <x v="0"/>
    <x v="4"/>
    <x v="0"/>
    <x v="1"/>
    <n v="17"/>
    <n v="44"/>
    <n v="136207"/>
    <n v="19100"/>
    <n v="11.2"/>
    <x v="0"/>
  </r>
  <r>
    <s v="EMP1118"/>
    <s v="Mark Jones"/>
    <x v="3"/>
    <x v="2"/>
    <s v="Bachelor's"/>
    <s v="San Antonio"/>
    <x v="0"/>
    <s v="Accountant"/>
    <x v="0"/>
    <x v="112"/>
    <x v="3"/>
    <n v="3"/>
    <n v="13"/>
    <x v="3"/>
    <x v="1"/>
    <x v="2"/>
    <x v="0"/>
    <n v="4"/>
    <n v="22"/>
    <n v="92503"/>
    <n v="5700"/>
    <n v="5.7"/>
    <x v="0"/>
  </r>
  <r>
    <s v="EMP1119"/>
    <s v="Charles Gonzalez"/>
    <x v="10"/>
    <x v="2"/>
    <s v="Diploma"/>
    <s v="San Jose"/>
    <x v="6"/>
    <s v="HR Executive"/>
    <x v="0"/>
    <x v="67"/>
    <x v="0"/>
    <n v="1"/>
    <n v="9"/>
    <x v="0"/>
    <x v="2"/>
    <x v="4"/>
    <x v="1"/>
    <n v="17"/>
    <n v="76"/>
    <n v="62853"/>
    <n v="6700"/>
    <n v="6.6"/>
    <x v="0"/>
  </r>
  <r>
    <s v="EMP1120"/>
    <s v="John Davis"/>
    <x v="10"/>
    <x v="2"/>
    <s v="Bachelor's"/>
    <s v="San Jose"/>
    <x v="1"/>
    <s v="Account Manager"/>
    <x v="0"/>
    <x v="113"/>
    <x v="3"/>
    <n v="3"/>
    <n v="11"/>
    <x v="1"/>
    <x v="3"/>
    <x v="3"/>
    <x v="0"/>
    <n v="23"/>
    <n v="3"/>
    <n v="91602"/>
    <n v="2900"/>
    <n v="5.3"/>
    <x v="0"/>
  </r>
  <r>
    <s v="EMP1121"/>
    <s v="Casey Anderson"/>
    <x v="1"/>
    <x v="0"/>
    <s v="Bachelor's"/>
    <s v="Phoenix"/>
    <x v="3"/>
    <s v="Logistics Coordinator"/>
    <x v="2"/>
    <x v="114"/>
    <x v="2"/>
    <n v="0"/>
    <n v="2"/>
    <x v="3"/>
    <x v="2"/>
    <x v="3"/>
    <x v="1"/>
    <n v="9"/>
    <n v="12"/>
    <n v="59572"/>
    <n v="4400"/>
    <n v="8.6999999999999993"/>
    <x v="0"/>
  </r>
  <r>
    <s v="EMP1122"/>
    <s v="William Lopez"/>
    <x v="16"/>
    <x v="2"/>
    <s v="Bachelor's"/>
    <s v="Los Angeles"/>
    <x v="5"/>
    <s v="SEO Specialist"/>
    <x v="0"/>
    <x v="115"/>
    <x v="1"/>
    <n v="2"/>
    <n v="3"/>
    <x v="0"/>
    <x v="2"/>
    <x v="0"/>
    <x v="1"/>
    <n v="19"/>
    <n v="9"/>
    <n v="65125"/>
    <n v="9000"/>
    <n v="7.5"/>
    <x v="0"/>
  </r>
  <r>
    <s v="EMP1123"/>
    <s v="Sarah Johnson"/>
    <x v="6"/>
    <x v="1"/>
    <s v="Diploma"/>
    <s v="San Diego"/>
    <x v="3"/>
    <s v="Logistics Coordinator"/>
    <x v="0"/>
    <x v="99"/>
    <x v="2"/>
    <n v="0"/>
    <n v="14"/>
    <x v="2"/>
    <x v="0"/>
    <x v="1"/>
    <x v="1"/>
    <n v="15"/>
    <n v="42"/>
    <n v="54881"/>
    <n v="9700"/>
    <n v="7.9"/>
    <x v="0"/>
  </r>
  <r>
    <s v="EMP1124"/>
    <s v="James Smith"/>
    <x v="21"/>
    <x v="2"/>
    <s v="Master's"/>
    <s v="New York"/>
    <x v="5"/>
    <s v="Marketing Manager"/>
    <x v="0"/>
    <x v="116"/>
    <x v="2"/>
    <n v="0"/>
    <n v="6"/>
    <x v="2"/>
    <x v="0"/>
    <x v="4"/>
    <x v="1"/>
    <n v="0"/>
    <n v="41"/>
    <n v="50769"/>
    <n v="9900"/>
    <n v="8.1999999999999993"/>
    <x v="0"/>
  </r>
  <r>
    <s v="EMP1125"/>
    <s v="James Hernandez"/>
    <x v="7"/>
    <x v="2"/>
    <s v="Bachelor's"/>
    <s v="San Diego"/>
    <x v="1"/>
    <s v="Sales Manager"/>
    <x v="0"/>
    <x v="117"/>
    <x v="1"/>
    <n v="2"/>
    <n v="12"/>
    <x v="0"/>
    <x v="2"/>
    <x v="0"/>
    <x v="1"/>
    <n v="10"/>
    <n v="55"/>
    <n v="70136"/>
    <n v="7800"/>
    <n v="3.8"/>
    <x v="1"/>
  </r>
  <r>
    <s v="EMP1126"/>
    <s v="Mark Davis"/>
    <x v="3"/>
    <x v="2"/>
    <s v="Bachelor's"/>
    <s v="New York"/>
    <x v="2"/>
    <s v="Senior Engineer"/>
    <x v="0"/>
    <x v="118"/>
    <x v="0"/>
    <n v="1"/>
    <n v="13"/>
    <x v="0"/>
    <x v="3"/>
    <x v="0"/>
    <x v="1"/>
    <n v="19"/>
    <n v="6"/>
    <n v="87197"/>
    <n v="8500"/>
    <n v="9.1"/>
    <x v="0"/>
  </r>
  <r>
    <s v="EMP1127"/>
    <s v="Lisa Wilson"/>
    <x v="2"/>
    <x v="1"/>
    <s v="Bachelor's"/>
    <s v="Phoenix"/>
    <x v="1"/>
    <s v="Sales Executive"/>
    <x v="0"/>
    <x v="119"/>
    <x v="3"/>
    <n v="3"/>
    <n v="4"/>
    <x v="0"/>
    <x v="1"/>
    <x v="0"/>
    <x v="1"/>
    <n v="8"/>
    <n v="79"/>
    <n v="53099"/>
    <n v="6300"/>
    <n v="4.8"/>
    <x v="0"/>
  </r>
  <r>
    <s v="EMP1128"/>
    <s v="Mark Johnson"/>
    <x v="14"/>
    <x v="2"/>
    <s v="Bachelor's"/>
    <s v="Chicago"/>
    <x v="4"/>
    <s v="Support Lead"/>
    <x v="0"/>
    <x v="120"/>
    <x v="3"/>
    <n v="3"/>
    <n v="4"/>
    <x v="3"/>
    <x v="4"/>
    <x v="3"/>
    <x v="1"/>
    <n v="22"/>
    <n v="61"/>
    <n v="41545"/>
    <n v="3300"/>
    <n v="14.7"/>
    <x v="0"/>
  </r>
  <r>
    <s v="EMP1129"/>
    <s v="James Hernandez"/>
    <x v="19"/>
    <x v="2"/>
    <s v="Bachelor's"/>
    <s v="San Diego"/>
    <x v="4"/>
    <s v="Customer Success Manager"/>
    <x v="1"/>
    <x v="121"/>
    <x v="3"/>
    <n v="3"/>
    <n v="19"/>
    <x v="3"/>
    <x v="3"/>
    <x v="4"/>
    <x v="1"/>
    <n v="14"/>
    <n v="6"/>
    <n v="37951"/>
    <n v="2200"/>
    <n v="11.7"/>
    <x v="0"/>
  </r>
  <r>
    <s v="EMP1130"/>
    <s v="Margaret Smith"/>
    <x v="20"/>
    <x v="1"/>
    <s v="Master's"/>
    <s v="Philadelphia"/>
    <x v="3"/>
    <s v="Operations Analyst"/>
    <x v="0"/>
    <x v="122"/>
    <x v="0"/>
    <n v="1"/>
    <n v="11"/>
    <x v="3"/>
    <x v="4"/>
    <x v="0"/>
    <x v="1"/>
    <n v="8"/>
    <n v="11"/>
    <n v="51225"/>
    <n v="4100"/>
    <n v="3.1"/>
    <x v="0"/>
  </r>
  <r>
    <s v="EMP1131"/>
    <s v="Jennifer Johnson"/>
    <x v="10"/>
    <x v="1"/>
    <s v="Master's"/>
    <s v="New York"/>
    <x v="2"/>
    <s v="Tech Lead"/>
    <x v="1"/>
    <x v="123"/>
    <x v="2"/>
    <n v="0"/>
    <n v="9"/>
    <x v="3"/>
    <x v="0"/>
    <x v="1"/>
    <x v="1"/>
    <n v="13"/>
    <n v="75"/>
    <n v="132684"/>
    <n v="9800"/>
    <n v="12.6"/>
    <x v="0"/>
  </r>
  <r>
    <s v="EMP1132"/>
    <s v="Lisa Davis"/>
    <x v="0"/>
    <x v="1"/>
    <s v="Diploma"/>
    <s v="New York"/>
    <x v="1"/>
    <s v="Business Development Rep"/>
    <x v="0"/>
    <x v="124"/>
    <x v="1"/>
    <n v="2"/>
    <n v="12"/>
    <x v="1"/>
    <x v="3"/>
    <x v="1"/>
    <x v="1"/>
    <n v="22"/>
    <n v="67"/>
    <n v="92662"/>
    <n v="2400"/>
    <n v="14"/>
    <x v="1"/>
  </r>
  <r>
    <s v="EMP1133"/>
    <s v="Riley Rodriguez"/>
    <x v="10"/>
    <x v="0"/>
    <s v="Bachelor's"/>
    <s v="New York"/>
    <x v="4"/>
    <s v="Support Lead"/>
    <x v="0"/>
    <x v="68"/>
    <x v="3"/>
    <n v="3"/>
    <n v="8"/>
    <x v="0"/>
    <x v="0"/>
    <x v="0"/>
    <x v="1"/>
    <n v="15"/>
    <n v="63"/>
    <n v="57160"/>
    <n v="5900"/>
    <n v="12.9"/>
    <x v="0"/>
  </r>
  <r>
    <s v="EMP1134"/>
    <s v="Joseph Garcia"/>
    <x v="2"/>
    <x v="2"/>
    <s v="Bachelor's"/>
    <s v="Los Angeles"/>
    <x v="7"/>
    <s v="Network Engineer"/>
    <x v="2"/>
    <x v="125"/>
    <x v="1"/>
    <n v="2"/>
    <n v="2"/>
    <x v="0"/>
    <x v="4"/>
    <x v="4"/>
    <x v="1"/>
    <n v="3"/>
    <n v="63"/>
    <n v="97160"/>
    <n v="13100"/>
    <n v="3.9"/>
    <x v="0"/>
  </r>
  <r>
    <s v="EMP1135"/>
    <s v="Richard Smith"/>
    <x v="13"/>
    <x v="2"/>
    <s v="Diploma"/>
    <s v="Houston"/>
    <x v="1"/>
    <s v="Sales Executive"/>
    <x v="2"/>
    <x v="126"/>
    <x v="3"/>
    <n v="3"/>
    <n v="20"/>
    <x v="0"/>
    <x v="3"/>
    <x v="0"/>
    <x v="0"/>
    <n v="24"/>
    <n v="79"/>
    <n v="81853"/>
    <n v="10500"/>
    <n v="14.4"/>
    <x v="0"/>
  </r>
  <r>
    <s v="EMP1136"/>
    <s v="Elizabeth Lopez"/>
    <x v="21"/>
    <x v="1"/>
    <s v="Bachelor's"/>
    <s v="Chicago"/>
    <x v="5"/>
    <s v="SEO Specialist"/>
    <x v="2"/>
    <x v="127"/>
    <x v="2"/>
    <n v="0"/>
    <n v="8"/>
    <x v="1"/>
    <x v="4"/>
    <x v="1"/>
    <x v="0"/>
    <n v="8"/>
    <n v="78"/>
    <n v="86527"/>
    <n v="2400"/>
    <n v="9.3000000000000007"/>
    <x v="1"/>
  </r>
  <r>
    <s v="EMP1137"/>
    <s v="Mark Wilson"/>
    <x v="0"/>
    <x v="2"/>
    <s v="Bachelor's"/>
    <s v="San Diego"/>
    <x v="1"/>
    <s v="Sales Manager"/>
    <x v="0"/>
    <x v="128"/>
    <x v="2"/>
    <n v="0"/>
    <n v="7"/>
    <x v="2"/>
    <x v="2"/>
    <x v="3"/>
    <x v="1"/>
    <n v="15"/>
    <n v="0"/>
    <n v="72162"/>
    <n v="15200"/>
    <n v="11.1"/>
    <x v="0"/>
  </r>
  <r>
    <s v="EMP1138"/>
    <s v="Susan Wilson"/>
    <x v="21"/>
    <x v="1"/>
    <s v="Master's"/>
    <s v="San Antonio"/>
    <x v="3"/>
    <s v="Operations Analyst"/>
    <x v="1"/>
    <x v="129"/>
    <x v="2"/>
    <n v="0"/>
    <n v="6"/>
    <x v="2"/>
    <x v="0"/>
    <x v="4"/>
    <x v="1"/>
    <n v="12"/>
    <n v="43"/>
    <n v="53413"/>
    <n v="11400"/>
    <n v="10.3"/>
    <x v="0"/>
  </r>
  <r>
    <s v="EMP1139"/>
    <s v="Robert Williams"/>
    <x v="4"/>
    <x v="2"/>
    <s v="PhD"/>
    <s v="San Jose"/>
    <x v="3"/>
    <s v="Supply Chain Analyst"/>
    <x v="0"/>
    <x v="130"/>
    <x v="2"/>
    <n v="0"/>
    <n v="17"/>
    <x v="3"/>
    <x v="3"/>
    <x v="3"/>
    <x v="0"/>
    <n v="22"/>
    <n v="22"/>
    <n v="80901"/>
    <n v="6100"/>
    <n v="14.2"/>
    <x v="0"/>
  </r>
  <r>
    <s v="EMP1140"/>
    <s v="Betty Garcia"/>
    <x v="25"/>
    <x v="1"/>
    <s v="Bachelor's"/>
    <s v="Houston"/>
    <x v="1"/>
    <s v="Account Manager"/>
    <x v="0"/>
    <x v="131"/>
    <x v="2"/>
    <n v="0"/>
    <n v="14"/>
    <x v="3"/>
    <x v="0"/>
    <x v="4"/>
    <x v="1"/>
    <n v="21"/>
    <n v="32"/>
    <n v="72681"/>
    <n v="5100"/>
    <n v="3.3"/>
    <x v="0"/>
  </r>
  <r>
    <s v="EMP1141"/>
    <s v="Nancy Gonzalez"/>
    <x v="23"/>
    <x v="1"/>
    <s v="Bachelor's"/>
    <s v="Dallas"/>
    <x v="5"/>
    <s v="Marketing Manager"/>
    <x v="0"/>
    <x v="132"/>
    <x v="0"/>
    <n v="1"/>
    <n v="18"/>
    <x v="2"/>
    <x v="2"/>
    <x v="4"/>
    <x v="1"/>
    <n v="22"/>
    <n v="6"/>
    <n v="74661"/>
    <n v="17100"/>
    <n v="11.9"/>
    <x v="0"/>
  </r>
  <r>
    <s v="EMP1142"/>
    <s v="Matthew Hernandez"/>
    <x v="1"/>
    <x v="2"/>
    <s v="Bachelor's"/>
    <s v="Dallas"/>
    <x v="5"/>
    <s v="SEO Specialist"/>
    <x v="0"/>
    <x v="133"/>
    <x v="0"/>
    <n v="1"/>
    <n v="1"/>
    <x v="3"/>
    <x v="0"/>
    <x v="3"/>
    <x v="1"/>
    <n v="9"/>
    <n v="57"/>
    <n v="74036"/>
    <n v="6000"/>
    <n v="11.5"/>
    <x v="0"/>
  </r>
  <r>
    <s v="EMP1143"/>
    <s v="Jordan Williams"/>
    <x v="2"/>
    <x v="0"/>
    <s v="Bachelor's"/>
    <s v="Chicago"/>
    <x v="2"/>
    <s v="Senior Engineer"/>
    <x v="0"/>
    <x v="134"/>
    <x v="1"/>
    <n v="2"/>
    <n v="4"/>
    <x v="0"/>
    <x v="3"/>
    <x v="0"/>
    <x v="1"/>
    <n v="1"/>
    <n v="80"/>
    <n v="106583"/>
    <n v="10900"/>
    <n v="10"/>
    <x v="0"/>
  </r>
  <r>
    <s v="EMP1144"/>
    <s v="Charles Rodriguez"/>
    <x v="5"/>
    <x v="2"/>
    <s v="Bachelor's"/>
    <s v="Philadelphia"/>
    <x v="4"/>
    <s v="Customer Success Manager"/>
    <x v="0"/>
    <x v="135"/>
    <x v="0"/>
    <n v="1"/>
    <n v="11"/>
    <x v="0"/>
    <x v="0"/>
    <x v="4"/>
    <x v="1"/>
    <n v="10"/>
    <n v="46"/>
    <n v="41025"/>
    <n v="5500"/>
    <n v="4.9000000000000004"/>
    <x v="0"/>
  </r>
  <r>
    <s v="EMP1145"/>
    <s v="Matthew Martinez"/>
    <x v="26"/>
    <x v="2"/>
    <s v="Master's"/>
    <s v="Philadelphia"/>
    <x v="2"/>
    <s v="Tech Lead"/>
    <x v="0"/>
    <x v="136"/>
    <x v="2"/>
    <n v="0"/>
    <n v="1"/>
    <x v="0"/>
    <x v="1"/>
    <x v="2"/>
    <x v="0"/>
    <n v="8"/>
    <n v="69"/>
    <n v="128414"/>
    <n v="16300"/>
    <n v="14"/>
    <x v="0"/>
  </r>
  <r>
    <s v="EMP1146"/>
    <s v="Thomas Wilson"/>
    <x v="13"/>
    <x v="2"/>
    <s v="Master's"/>
    <s v="Dallas"/>
    <x v="2"/>
    <s v="Tech Lead"/>
    <x v="0"/>
    <x v="137"/>
    <x v="0"/>
    <n v="1"/>
    <n v="17"/>
    <x v="3"/>
    <x v="1"/>
    <x v="3"/>
    <x v="0"/>
    <n v="21"/>
    <n v="80"/>
    <n v="108854"/>
    <n v="6700"/>
    <n v="9.1999999999999993"/>
    <x v="0"/>
  </r>
  <r>
    <s v="EMP1147"/>
    <s v="Susan Wilson"/>
    <x v="10"/>
    <x v="1"/>
    <s v="Master's"/>
    <s v="Phoenix"/>
    <x v="5"/>
    <s v="Marketing Manager"/>
    <x v="0"/>
    <x v="91"/>
    <x v="3"/>
    <n v="3"/>
    <n v="14"/>
    <x v="2"/>
    <x v="2"/>
    <x v="3"/>
    <x v="0"/>
    <n v="8"/>
    <n v="52"/>
    <n v="55076"/>
    <n v="12000"/>
    <n v="3.5"/>
    <x v="1"/>
  </r>
  <r>
    <s v="EMP1148"/>
    <s v="Richard Miller"/>
    <x v="0"/>
    <x v="2"/>
    <s v="Bachelor's"/>
    <s v="Dallas"/>
    <x v="0"/>
    <s v="Controller"/>
    <x v="0"/>
    <x v="0"/>
    <x v="0"/>
    <n v="1"/>
    <n v="4"/>
    <x v="0"/>
    <x v="3"/>
    <x v="0"/>
    <x v="0"/>
    <n v="2"/>
    <n v="36"/>
    <n v="102204"/>
    <n v="13500"/>
    <n v="10"/>
    <x v="0"/>
  </r>
  <r>
    <s v="EMP1149"/>
    <s v="Anthony Hernandez"/>
    <x v="4"/>
    <x v="2"/>
    <s v="Bachelor's"/>
    <s v="Philadelphia"/>
    <x v="2"/>
    <s v="DevOps Engineer"/>
    <x v="1"/>
    <x v="138"/>
    <x v="3"/>
    <n v="3"/>
    <n v="18"/>
    <x v="3"/>
    <x v="1"/>
    <x v="0"/>
    <x v="0"/>
    <n v="17"/>
    <n v="18"/>
    <n v="121248"/>
    <n v="9700"/>
    <n v="6.5"/>
    <x v="0"/>
  </r>
  <r>
    <s v="EMP1150"/>
    <s v="Charles Martinez"/>
    <x v="15"/>
    <x v="2"/>
    <s v="Bachelor's"/>
    <s v="San Jose"/>
    <x v="2"/>
    <s v="Software Engineer"/>
    <x v="2"/>
    <x v="139"/>
    <x v="2"/>
    <n v="0"/>
    <n v="3"/>
    <x v="0"/>
    <x v="0"/>
    <x v="1"/>
    <x v="0"/>
    <n v="5"/>
    <n v="72"/>
    <n v="115069"/>
    <n v="16000"/>
    <n v="13.2"/>
    <x v="0"/>
  </r>
  <r>
    <s v="EMP1151"/>
    <s v="Sandra Rodriguez"/>
    <x v="15"/>
    <x v="1"/>
    <s v="Master's"/>
    <s v="Houston"/>
    <x v="7"/>
    <s v="IT Analyst"/>
    <x v="0"/>
    <x v="140"/>
    <x v="2"/>
    <n v="0"/>
    <n v="3"/>
    <x v="2"/>
    <x v="2"/>
    <x v="1"/>
    <x v="0"/>
    <n v="6"/>
    <n v="40"/>
    <n v="71429"/>
    <n v="15600"/>
    <n v="8.8000000000000007"/>
    <x v="0"/>
  </r>
  <r>
    <s v="EMP1152"/>
    <s v="Charles Hernandez"/>
    <x v="2"/>
    <x v="2"/>
    <s v="PhD"/>
    <s v="Phoenix"/>
    <x v="0"/>
    <s v="Controller"/>
    <x v="2"/>
    <x v="141"/>
    <x v="0"/>
    <n v="1"/>
    <n v="5"/>
    <x v="2"/>
    <x v="0"/>
    <x v="4"/>
    <x v="1"/>
    <n v="15"/>
    <n v="59"/>
    <n v="83069"/>
    <n v="15400"/>
    <n v="12.4"/>
    <x v="0"/>
  </r>
  <r>
    <s v="EMP1153"/>
    <s v="William Davis"/>
    <x v="4"/>
    <x v="2"/>
    <s v="PhD"/>
    <s v="New York"/>
    <x v="2"/>
    <s v="DevOps Engineer"/>
    <x v="2"/>
    <x v="142"/>
    <x v="3"/>
    <n v="3"/>
    <n v="20"/>
    <x v="3"/>
    <x v="1"/>
    <x v="0"/>
    <x v="1"/>
    <n v="18"/>
    <n v="51"/>
    <n v="88350"/>
    <n v="5400"/>
    <n v="11.8"/>
    <x v="0"/>
  </r>
  <r>
    <s v="EMP1154"/>
    <s v="Sarah Jones"/>
    <x v="2"/>
    <x v="1"/>
    <s v="Bachelor's"/>
    <s v="Dallas"/>
    <x v="5"/>
    <s v="Marketing Manager"/>
    <x v="0"/>
    <x v="143"/>
    <x v="2"/>
    <n v="0"/>
    <n v="5"/>
    <x v="3"/>
    <x v="0"/>
    <x v="0"/>
    <x v="1"/>
    <n v="21"/>
    <n v="21"/>
    <n v="83640"/>
    <n v="5400"/>
    <n v="8.6"/>
    <x v="0"/>
  </r>
  <r>
    <s v="EMP1155"/>
    <s v="Robert Martinez"/>
    <x v="4"/>
    <x v="2"/>
    <s v="Bachelor's"/>
    <s v="Philadelphia"/>
    <x v="1"/>
    <s v="Sales Manager"/>
    <x v="0"/>
    <x v="144"/>
    <x v="1"/>
    <n v="2"/>
    <n v="16"/>
    <x v="0"/>
    <x v="4"/>
    <x v="1"/>
    <x v="0"/>
    <n v="1"/>
    <n v="41"/>
    <n v="94903"/>
    <n v="9400"/>
    <n v="7.4"/>
    <x v="1"/>
  </r>
  <r>
    <s v="EMP1156"/>
    <s v="Sarah Hernandez"/>
    <x v="17"/>
    <x v="1"/>
    <s v="Master's"/>
    <s v="San Antonio"/>
    <x v="2"/>
    <s v="Software Engineer"/>
    <x v="1"/>
    <x v="145"/>
    <x v="0"/>
    <n v="1"/>
    <n v="19"/>
    <x v="3"/>
    <x v="0"/>
    <x v="0"/>
    <x v="1"/>
    <n v="12"/>
    <n v="45"/>
    <n v="119369"/>
    <n v="7900"/>
    <n v="10.8"/>
    <x v="0"/>
  </r>
  <r>
    <s v="EMP1157"/>
    <s v="Joseph Anderson"/>
    <x v="20"/>
    <x v="2"/>
    <s v="Bachelor's"/>
    <s v="Los Angeles"/>
    <x v="2"/>
    <s v="Tech Lead"/>
    <x v="0"/>
    <x v="146"/>
    <x v="3"/>
    <n v="3"/>
    <n v="15"/>
    <x v="0"/>
    <x v="4"/>
    <x v="4"/>
    <x v="1"/>
    <n v="23"/>
    <n v="14"/>
    <n v="137441"/>
    <n v="14600"/>
    <n v="5.2"/>
    <x v="0"/>
  </r>
  <r>
    <s v="EMP1158"/>
    <s v="Jessica Brown"/>
    <x v="6"/>
    <x v="1"/>
    <s v="Bachelor's"/>
    <s v="New York"/>
    <x v="6"/>
    <s v="L&amp;D Specialist"/>
    <x v="0"/>
    <x v="147"/>
    <x v="1"/>
    <n v="2"/>
    <n v="14"/>
    <x v="0"/>
    <x v="0"/>
    <x v="0"/>
    <x v="1"/>
    <n v="12"/>
    <n v="76"/>
    <n v="48381"/>
    <n v="5000"/>
    <n v="10.6"/>
    <x v="1"/>
  </r>
  <r>
    <s v="EMP1159"/>
    <s v="Nancy Hernandez"/>
    <x v="25"/>
    <x v="1"/>
    <s v="Diploma"/>
    <s v="San Jose"/>
    <x v="2"/>
    <s v="Software Engineer"/>
    <x v="0"/>
    <x v="148"/>
    <x v="0"/>
    <n v="1"/>
    <n v="15"/>
    <x v="0"/>
    <x v="3"/>
    <x v="3"/>
    <x v="1"/>
    <n v="23"/>
    <n v="43"/>
    <n v="92356"/>
    <n v="10700"/>
    <n v="4.7"/>
    <x v="0"/>
  </r>
  <r>
    <s v="EMP1160"/>
    <s v="Patricia Brown"/>
    <x v="24"/>
    <x v="1"/>
    <s v="Bachelor's"/>
    <s v="San Jose"/>
    <x v="2"/>
    <s v="DevOps Engineer"/>
    <x v="0"/>
    <x v="149"/>
    <x v="2"/>
    <n v="0"/>
    <n v="4"/>
    <x v="3"/>
    <x v="2"/>
    <x v="0"/>
    <x v="1"/>
    <n v="24"/>
    <n v="15"/>
    <n v="136107"/>
    <n v="10800"/>
    <n v="10.3"/>
    <x v="0"/>
  </r>
  <r>
    <s v="EMP1161"/>
    <s v="Robert Anderson"/>
    <x v="25"/>
    <x v="2"/>
    <s v="Bachelor's"/>
    <s v="Philadelphia"/>
    <x v="1"/>
    <s v="Sales Executive"/>
    <x v="0"/>
    <x v="150"/>
    <x v="3"/>
    <n v="3"/>
    <n v="14"/>
    <x v="3"/>
    <x v="2"/>
    <x v="1"/>
    <x v="1"/>
    <n v="13"/>
    <n v="17"/>
    <n v="47846"/>
    <n v="3300"/>
    <n v="14.3"/>
    <x v="0"/>
  </r>
  <r>
    <s v="EMP1162"/>
    <s v="Michael Anderson"/>
    <x v="13"/>
    <x v="2"/>
    <s v="Bachelor's"/>
    <s v="Houston"/>
    <x v="0"/>
    <s v="Accountant"/>
    <x v="0"/>
    <x v="151"/>
    <x v="3"/>
    <n v="3"/>
    <n v="18"/>
    <x v="3"/>
    <x v="3"/>
    <x v="2"/>
    <x v="0"/>
    <n v="11"/>
    <n v="13"/>
    <n v="55358"/>
    <n v="4300"/>
    <n v="9.9"/>
    <x v="0"/>
  </r>
  <r>
    <s v="EMP1163"/>
    <s v="Charles Jones"/>
    <x v="13"/>
    <x v="2"/>
    <s v="Master's"/>
    <s v="Dallas"/>
    <x v="2"/>
    <s v="Senior Engineer"/>
    <x v="0"/>
    <x v="152"/>
    <x v="0"/>
    <n v="1"/>
    <n v="19"/>
    <x v="3"/>
    <x v="3"/>
    <x v="0"/>
    <x v="1"/>
    <n v="11"/>
    <n v="50"/>
    <n v="122095"/>
    <n v="8300"/>
    <n v="12.4"/>
    <x v="0"/>
  </r>
  <r>
    <s v="EMP1164"/>
    <s v="Lisa Johnson"/>
    <x v="15"/>
    <x v="1"/>
    <s v="Bachelor's"/>
    <s v="San Antonio"/>
    <x v="4"/>
    <s v="Support Lead"/>
    <x v="1"/>
    <x v="153"/>
    <x v="1"/>
    <n v="2"/>
    <n v="6"/>
    <x v="3"/>
    <x v="1"/>
    <x v="1"/>
    <x v="0"/>
    <n v="4"/>
    <n v="60"/>
    <n v="48125"/>
    <n v="3800"/>
    <n v="10.4"/>
    <x v="0"/>
  </r>
  <r>
    <s v="EMP1165"/>
    <s v="William Brown"/>
    <x v="21"/>
    <x v="2"/>
    <s v="Diploma"/>
    <s v="Chicago"/>
    <x v="4"/>
    <s v="Support Analyst"/>
    <x v="0"/>
    <x v="154"/>
    <x v="0"/>
    <n v="1"/>
    <n v="2"/>
    <x v="0"/>
    <x v="4"/>
    <x v="1"/>
    <x v="1"/>
    <n v="6"/>
    <n v="66"/>
    <n v="48128"/>
    <n v="5800"/>
    <n v="11.5"/>
    <x v="0"/>
  </r>
  <r>
    <s v="EMP1166"/>
    <s v="Matthew Martinez"/>
    <x v="15"/>
    <x v="2"/>
    <s v="Bachelor's"/>
    <s v="San Antonio"/>
    <x v="1"/>
    <s v="Account Manager"/>
    <x v="0"/>
    <x v="155"/>
    <x v="1"/>
    <n v="2"/>
    <n v="2"/>
    <x v="1"/>
    <x v="2"/>
    <x v="1"/>
    <x v="1"/>
    <n v="23"/>
    <n v="8"/>
    <n v="45018"/>
    <n v="1100"/>
    <n v="6.3"/>
    <x v="1"/>
  </r>
  <r>
    <s v="EMP1167"/>
    <s v="Nancy Wilson"/>
    <x v="0"/>
    <x v="1"/>
    <s v="Master's"/>
    <s v="Dallas"/>
    <x v="2"/>
    <s v="Software Engineer"/>
    <x v="0"/>
    <x v="156"/>
    <x v="0"/>
    <n v="1"/>
    <n v="9"/>
    <x v="0"/>
    <x v="3"/>
    <x v="4"/>
    <x v="1"/>
    <n v="3"/>
    <n v="65"/>
    <n v="95496"/>
    <n v="11000"/>
    <n v="3.1"/>
    <x v="0"/>
  </r>
  <r>
    <s v="EMP1168"/>
    <s v="Margaret Gonzalez"/>
    <x v="12"/>
    <x v="1"/>
    <s v="PhD"/>
    <s v="San Diego"/>
    <x v="0"/>
    <s v="Accountant"/>
    <x v="0"/>
    <x v="157"/>
    <x v="0"/>
    <n v="1"/>
    <n v="13"/>
    <x v="0"/>
    <x v="1"/>
    <x v="2"/>
    <x v="1"/>
    <n v="20"/>
    <n v="28"/>
    <n v="104641"/>
    <n v="13900"/>
    <n v="11.2"/>
    <x v="0"/>
  </r>
  <r>
    <s v="EMP1169"/>
    <s v="Susan Garcia"/>
    <x v="0"/>
    <x v="1"/>
    <s v="Bachelor's"/>
    <s v="Philadelphia"/>
    <x v="2"/>
    <s v="Senior Engineer"/>
    <x v="0"/>
    <x v="158"/>
    <x v="3"/>
    <n v="3"/>
    <n v="9"/>
    <x v="3"/>
    <x v="2"/>
    <x v="4"/>
    <x v="1"/>
    <n v="5"/>
    <n v="24"/>
    <n v="122288"/>
    <n v="9700"/>
    <n v="3.9"/>
    <x v="0"/>
  </r>
  <r>
    <s v="EMP1170"/>
    <s v="Linda Lopez"/>
    <x v="14"/>
    <x v="1"/>
    <s v="PhD"/>
    <s v="San Diego"/>
    <x v="1"/>
    <s v="Business Development Rep"/>
    <x v="0"/>
    <x v="159"/>
    <x v="1"/>
    <n v="2"/>
    <n v="8"/>
    <x v="0"/>
    <x v="2"/>
    <x v="1"/>
    <x v="1"/>
    <n v="15"/>
    <n v="47"/>
    <n v="85540"/>
    <n v="11400"/>
    <n v="4.4000000000000004"/>
    <x v="1"/>
  </r>
  <r>
    <s v="EMP1171"/>
    <s v="Mark Anderson"/>
    <x v="4"/>
    <x v="2"/>
    <s v="Bachelor's"/>
    <s v="Dallas"/>
    <x v="7"/>
    <s v="IT Manager"/>
    <x v="0"/>
    <x v="160"/>
    <x v="0"/>
    <n v="1"/>
    <n v="17"/>
    <x v="0"/>
    <x v="0"/>
    <x v="2"/>
    <x v="1"/>
    <n v="3"/>
    <n v="66"/>
    <n v="104163"/>
    <n v="10300"/>
    <n v="12.6"/>
    <x v="0"/>
  </r>
  <r>
    <s v="EMP1172"/>
    <s v="James Smith"/>
    <x v="8"/>
    <x v="2"/>
    <s v="Bachelor's"/>
    <s v="Chicago"/>
    <x v="6"/>
    <s v="L&amp;D Specialist"/>
    <x v="0"/>
    <x v="161"/>
    <x v="1"/>
    <n v="2"/>
    <n v="4"/>
    <x v="2"/>
    <x v="0"/>
    <x v="2"/>
    <x v="1"/>
    <n v="22"/>
    <n v="47"/>
    <n v="57019"/>
    <n v="10300"/>
    <n v="6.2"/>
    <x v="0"/>
  </r>
  <r>
    <s v="EMP1173"/>
    <s v="Barbara Davis"/>
    <x v="25"/>
    <x v="1"/>
    <s v="PhD"/>
    <s v="Chicago"/>
    <x v="5"/>
    <s v="Content Strategist"/>
    <x v="0"/>
    <x v="19"/>
    <x v="1"/>
    <n v="2"/>
    <n v="19"/>
    <x v="3"/>
    <x v="1"/>
    <x v="3"/>
    <x v="1"/>
    <n v="13"/>
    <n v="63"/>
    <n v="62691"/>
    <n v="4500"/>
    <n v="13.3"/>
    <x v="0"/>
  </r>
  <r>
    <s v="EMP1174"/>
    <s v="Quinn Rodriguez"/>
    <x v="20"/>
    <x v="0"/>
    <s v="Diploma"/>
    <s v="Los Angeles"/>
    <x v="3"/>
    <s v="Operations Manager"/>
    <x v="0"/>
    <x v="162"/>
    <x v="0"/>
    <n v="1"/>
    <n v="9"/>
    <x v="0"/>
    <x v="3"/>
    <x v="4"/>
    <x v="1"/>
    <n v="11"/>
    <n v="46"/>
    <n v="48126"/>
    <n v="6200"/>
    <n v="3.7"/>
    <x v="0"/>
  </r>
  <r>
    <s v="EMP1175"/>
    <s v="Richard Johnson"/>
    <x v="10"/>
    <x v="2"/>
    <s v="Bachelor's"/>
    <s v="San Antonio"/>
    <x v="3"/>
    <s v="Supply Chain Analyst"/>
    <x v="0"/>
    <x v="163"/>
    <x v="0"/>
    <n v="1"/>
    <n v="7"/>
    <x v="0"/>
    <x v="4"/>
    <x v="3"/>
    <x v="1"/>
    <n v="5"/>
    <n v="43"/>
    <n v="63652"/>
    <n v="8200"/>
    <n v="8.8000000000000007"/>
    <x v="0"/>
  </r>
  <r>
    <s v="EMP1176"/>
    <s v="Karen Miller"/>
    <x v="6"/>
    <x v="1"/>
    <s v="Bachelor's"/>
    <s v="Philadelphia"/>
    <x v="1"/>
    <s v="Business Development Rep"/>
    <x v="0"/>
    <x v="164"/>
    <x v="3"/>
    <n v="3"/>
    <n v="11"/>
    <x v="0"/>
    <x v="2"/>
    <x v="2"/>
    <x v="1"/>
    <n v="13"/>
    <n v="21"/>
    <n v="87795"/>
    <n v="9600"/>
    <n v="10.7"/>
    <x v="0"/>
  </r>
  <r>
    <s v="EMP1177"/>
    <s v="Jennifer Lopez"/>
    <x v="16"/>
    <x v="1"/>
    <s v="Bachelor's"/>
    <s v="Dallas"/>
    <x v="1"/>
    <s v="Sales Manager"/>
    <x v="0"/>
    <x v="165"/>
    <x v="1"/>
    <n v="2"/>
    <n v="3"/>
    <x v="2"/>
    <x v="1"/>
    <x v="1"/>
    <x v="1"/>
    <n v="8"/>
    <n v="79"/>
    <n v="51750"/>
    <n v="12200"/>
    <n v="8.6999999999999993"/>
    <x v="1"/>
  </r>
  <r>
    <s v="EMP1178"/>
    <s v="Mark Anderson"/>
    <x v="0"/>
    <x v="2"/>
    <s v="Bachelor's"/>
    <s v="Philadelphia"/>
    <x v="2"/>
    <s v="Senior Engineer"/>
    <x v="2"/>
    <x v="166"/>
    <x v="2"/>
    <n v="0"/>
    <n v="8"/>
    <x v="2"/>
    <x v="4"/>
    <x v="0"/>
    <x v="1"/>
    <n v="8"/>
    <n v="70"/>
    <n v="86569"/>
    <n v="19700"/>
    <n v="3.3"/>
    <x v="0"/>
  </r>
  <r>
    <s v="EMP1179"/>
    <s v="Daniel Rodriguez"/>
    <x v="4"/>
    <x v="2"/>
    <s v="Master's"/>
    <s v="Philadelphia"/>
    <x v="2"/>
    <s v="DevOps Engineer"/>
    <x v="0"/>
    <x v="167"/>
    <x v="1"/>
    <n v="2"/>
    <n v="15"/>
    <x v="0"/>
    <x v="0"/>
    <x v="4"/>
    <x v="1"/>
    <n v="0"/>
    <n v="0"/>
    <n v="139964"/>
    <n v="15800"/>
    <n v="9.5"/>
    <x v="0"/>
  </r>
  <r>
    <s v="EMP1180"/>
    <s v="Joseph Rodriguez"/>
    <x v="12"/>
    <x v="2"/>
    <s v="Bachelor's"/>
    <s v="Dallas"/>
    <x v="5"/>
    <s v="Marketing Manager"/>
    <x v="0"/>
    <x v="168"/>
    <x v="3"/>
    <n v="3"/>
    <n v="16"/>
    <x v="3"/>
    <x v="0"/>
    <x v="3"/>
    <x v="0"/>
    <n v="22"/>
    <n v="49"/>
    <n v="73209"/>
    <n v="5300"/>
    <n v="12.6"/>
    <x v="0"/>
  </r>
  <r>
    <s v="EMP1181"/>
    <s v="John Miller"/>
    <x v="13"/>
    <x v="2"/>
    <s v="Bachelor's"/>
    <s v="Los Angeles"/>
    <x v="0"/>
    <s v="Controller"/>
    <x v="0"/>
    <x v="169"/>
    <x v="1"/>
    <n v="2"/>
    <n v="20"/>
    <x v="0"/>
    <x v="2"/>
    <x v="2"/>
    <x v="0"/>
    <n v="8"/>
    <n v="79"/>
    <n v="103688"/>
    <n v="11300"/>
    <n v="5.3"/>
    <x v="1"/>
  </r>
  <r>
    <s v="EMP1182"/>
    <s v="James Williams"/>
    <x v="15"/>
    <x v="2"/>
    <s v="Bachelor's"/>
    <s v="Philadelphia"/>
    <x v="0"/>
    <s v="Controller"/>
    <x v="0"/>
    <x v="170"/>
    <x v="3"/>
    <n v="3"/>
    <n v="6"/>
    <x v="3"/>
    <x v="4"/>
    <x v="4"/>
    <x v="1"/>
    <n v="14"/>
    <n v="4"/>
    <n v="63194"/>
    <n v="4800"/>
    <n v="5.8"/>
    <x v="0"/>
  </r>
  <r>
    <s v="EMP1183"/>
    <s v="Matthew Williams"/>
    <x v="6"/>
    <x v="2"/>
    <s v="Master's"/>
    <s v="Houston"/>
    <x v="7"/>
    <s v="IT Manager"/>
    <x v="0"/>
    <x v="171"/>
    <x v="3"/>
    <n v="3"/>
    <n v="13"/>
    <x v="2"/>
    <x v="4"/>
    <x v="3"/>
    <x v="0"/>
    <n v="23"/>
    <n v="4"/>
    <n v="66901"/>
    <n v="15200"/>
    <n v="12.8"/>
    <x v="0"/>
  </r>
  <r>
    <s v="EMP1184"/>
    <s v="Matthew Johnson"/>
    <x v="10"/>
    <x v="2"/>
    <s v="Bachelor's"/>
    <s v="Houston"/>
    <x v="1"/>
    <s v="Sales Manager"/>
    <x v="0"/>
    <x v="172"/>
    <x v="1"/>
    <n v="2"/>
    <n v="10"/>
    <x v="2"/>
    <x v="1"/>
    <x v="3"/>
    <x v="1"/>
    <n v="3"/>
    <n v="30"/>
    <n v="92725"/>
    <n v="21800"/>
    <n v="9.3000000000000007"/>
    <x v="0"/>
  </r>
  <r>
    <s v="EMP1185"/>
    <s v="Robert Gonzalez"/>
    <x v="7"/>
    <x v="2"/>
    <s v="Bachelor's"/>
    <s v="Houston"/>
    <x v="2"/>
    <s v="DevOps Engineer"/>
    <x v="0"/>
    <x v="173"/>
    <x v="0"/>
    <n v="1"/>
    <n v="13"/>
    <x v="0"/>
    <x v="1"/>
    <x v="0"/>
    <x v="1"/>
    <n v="10"/>
    <n v="80"/>
    <n v="75504"/>
    <n v="9800"/>
    <n v="11.3"/>
    <x v="0"/>
  </r>
  <r>
    <s v="EMP1186"/>
    <s v="Christopher Williams"/>
    <x v="3"/>
    <x v="2"/>
    <s v="High School"/>
    <s v="Chicago"/>
    <x v="2"/>
    <s v="Software Engineer"/>
    <x v="0"/>
    <x v="174"/>
    <x v="3"/>
    <n v="3"/>
    <n v="8"/>
    <x v="3"/>
    <x v="1"/>
    <x v="2"/>
    <x v="1"/>
    <n v="22"/>
    <n v="56"/>
    <n v="115523"/>
    <n v="7900"/>
    <n v="5.3"/>
    <x v="0"/>
  </r>
  <r>
    <s v="EMP1187"/>
    <s v="Jessica Brown"/>
    <x v="23"/>
    <x v="1"/>
    <s v="Bachelor's"/>
    <s v="Phoenix"/>
    <x v="4"/>
    <s v="Customer Success Manager"/>
    <x v="0"/>
    <x v="175"/>
    <x v="1"/>
    <n v="2"/>
    <n v="11"/>
    <x v="0"/>
    <x v="4"/>
    <x v="1"/>
    <x v="1"/>
    <n v="24"/>
    <n v="64"/>
    <n v="62241"/>
    <n v="8500"/>
    <n v="4.9000000000000004"/>
    <x v="0"/>
  </r>
  <r>
    <s v="EMP1188"/>
    <s v="Sandra Smith"/>
    <x v="0"/>
    <x v="1"/>
    <s v="Master's"/>
    <s v="San Antonio"/>
    <x v="2"/>
    <s v="DevOps Engineer"/>
    <x v="0"/>
    <x v="176"/>
    <x v="0"/>
    <n v="1"/>
    <n v="11"/>
    <x v="2"/>
    <x v="1"/>
    <x v="1"/>
    <x v="0"/>
    <n v="16"/>
    <n v="8"/>
    <n v="120789"/>
    <n v="25900"/>
    <n v="12.2"/>
    <x v="0"/>
  </r>
  <r>
    <s v="EMP1189"/>
    <s v="Jennifer Williams"/>
    <x v="5"/>
    <x v="1"/>
    <s v="Bachelor's"/>
    <s v="New York"/>
    <x v="1"/>
    <s v="Sales Executive"/>
    <x v="0"/>
    <x v="177"/>
    <x v="3"/>
    <n v="3"/>
    <n v="16"/>
    <x v="0"/>
    <x v="2"/>
    <x v="1"/>
    <x v="1"/>
    <n v="0"/>
    <n v="26"/>
    <n v="82421"/>
    <n v="9400"/>
    <n v="8.9"/>
    <x v="0"/>
  </r>
  <r>
    <s v="EMP1190"/>
    <s v="Margaret Johnson"/>
    <x v="12"/>
    <x v="1"/>
    <s v="Master's"/>
    <s v="Los Angeles"/>
    <x v="2"/>
    <s v="DevOps Engineer"/>
    <x v="2"/>
    <x v="178"/>
    <x v="2"/>
    <n v="0"/>
    <n v="12"/>
    <x v="3"/>
    <x v="1"/>
    <x v="3"/>
    <x v="1"/>
    <n v="16"/>
    <n v="12"/>
    <n v="124519"/>
    <n v="9700"/>
    <n v="3.7"/>
    <x v="0"/>
  </r>
  <r>
    <s v="EMP1191"/>
    <s v="Sarah Miller"/>
    <x v="2"/>
    <x v="1"/>
    <s v="Master's"/>
    <s v="San Antonio"/>
    <x v="2"/>
    <s v="Software Engineer"/>
    <x v="2"/>
    <x v="179"/>
    <x v="1"/>
    <n v="2"/>
    <n v="8"/>
    <x v="3"/>
    <x v="0"/>
    <x v="3"/>
    <x v="1"/>
    <n v="17"/>
    <n v="51"/>
    <n v="124419"/>
    <n v="9600"/>
    <n v="9.9"/>
    <x v="0"/>
  </r>
  <r>
    <s v="EMP1192"/>
    <s v="Sarah Martinez"/>
    <x v="11"/>
    <x v="1"/>
    <s v="PhD"/>
    <s v="Houston"/>
    <x v="2"/>
    <s v="Tech Lead"/>
    <x v="0"/>
    <x v="180"/>
    <x v="2"/>
    <n v="0"/>
    <n v="18"/>
    <x v="3"/>
    <x v="2"/>
    <x v="4"/>
    <x v="1"/>
    <n v="11"/>
    <n v="57"/>
    <n v="124046"/>
    <n v="8400"/>
    <n v="11.7"/>
    <x v="0"/>
  </r>
  <r>
    <s v="EMP1193"/>
    <s v="Mary Lopez"/>
    <x v="8"/>
    <x v="1"/>
    <s v="Bachelor's"/>
    <s v="Phoenix"/>
    <x v="2"/>
    <s v="DevOps Engineer"/>
    <x v="1"/>
    <x v="151"/>
    <x v="3"/>
    <n v="3"/>
    <n v="1"/>
    <x v="2"/>
    <x v="2"/>
    <x v="0"/>
    <x v="1"/>
    <n v="18"/>
    <n v="73"/>
    <n v="109562"/>
    <n v="26200"/>
    <n v="5.6"/>
    <x v="0"/>
  </r>
  <r>
    <s v="EMP1194"/>
    <s v="Joseph Garcia"/>
    <x v="10"/>
    <x v="2"/>
    <s v="Bachelor's"/>
    <s v="Philadelphia"/>
    <x v="4"/>
    <s v="Support Lead"/>
    <x v="0"/>
    <x v="181"/>
    <x v="1"/>
    <n v="2"/>
    <n v="12"/>
    <x v="0"/>
    <x v="0"/>
    <x v="2"/>
    <x v="0"/>
    <n v="22"/>
    <n v="73"/>
    <n v="61577"/>
    <n v="7600"/>
    <n v="9.8000000000000007"/>
    <x v="0"/>
  </r>
  <r>
    <s v="EMP1195"/>
    <s v="Barbara Smith"/>
    <x v="15"/>
    <x v="1"/>
    <s v="Bachelor's"/>
    <s v="San Jose"/>
    <x v="2"/>
    <s v="Software Engineer"/>
    <x v="1"/>
    <x v="182"/>
    <x v="2"/>
    <n v="0"/>
    <n v="2"/>
    <x v="0"/>
    <x v="4"/>
    <x v="1"/>
    <x v="1"/>
    <n v="9"/>
    <n v="67"/>
    <n v="126925"/>
    <n v="17500"/>
    <n v="13.4"/>
    <x v="0"/>
  </r>
  <r>
    <s v="EMP1196"/>
    <s v="Charles Williams"/>
    <x v="2"/>
    <x v="2"/>
    <s v="Bachelor's"/>
    <s v="San Antonio"/>
    <x v="4"/>
    <s v="Support Executive"/>
    <x v="0"/>
    <x v="183"/>
    <x v="0"/>
    <n v="1"/>
    <n v="8"/>
    <x v="1"/>
    <x v="3"/>
    <x v="1"/>
    <x v="1"/>
    <n v="15"/>
    <n v="73"/>
    <n v="58972"/>
    <n v="2100"/>
    <n v="12"/>
    <x v="1"/>
  </r>
  <r>
    <s v="EMP1197"/>
    <s v="Barbara Johnson"/>
    <x v="15"/>
    <x v="1"/>
    <s v="Master's"/>
    <s v="Houston"/>
    <x v="6"/>
    <s v="HR Executive"/>
    <x v="0"/>
    <x v="184"/>
    <x v="2"/>
    <n v="0"/>
    <n v="5"/>
    <x v="0"/>
    <x v="3"/>
    <x v="2"/>
    <x v="1"/>
    <n v="10"/>
    <n v="73"/>
    <n v="52983"/>
    <n v="6700"/>
    <n v="5.4"/>
    <x v="0"/>
  </r>
  <r>
    <s v="EMP1198"/>
    <s v="Richard Miller"/>
    <x v="7"/>
    <x v="2"/>
    <s v="Master's"/>
    <s v="San Jose"/>
    <x v="1"/>
    <s v="Sales Executive"/>
    <x v="0"/>
    <x v="185"/>
    <x v="0"/>
    <n v="1"/>
    <n v="11"/>
    <x v="3"/>
    <x v="1"/>
    <x v="3"/>
    <x v="1"/>
    <n v="6"/>
    <n v="47"/>
    <n v="46586"/>
    <n v="2800"/>
    <n v="7.2"/>
    <x v="0"/>
  </r>
  <r>
    <s v="EMP1199"/>
    <s v="Margaret Johnson"/>
    <x v="2"/>
    <x v="1"/>
    <s v="Diploma"/>
    <s v="Houston"/>
    <x v="7"/>
    <s v="Network Engineer"/>
    <x v="0"/>
    <x v="186"/>
    <x v="3"/>
    <n v="3"/>
    <n v="8"/>
    <x v="2"/>
    <x v="0"/>
    <x v="3"/>
    <x v="0"/>
    <n v="17"/>
    <n v="66"/>
    <n v="73853"/>
    <n v="15900"/>
    <n v="4.3"/>
    <x v="0"/>
  </r>
  <r>
    <s v="EMP1200"/>
    <s v="Karen Lopez"/>
    <x v="15"/>
    <x v="1"/>
    <s v="Master's"/>
    <s v="Phoenix"/>
    <x v="3"/>
    <s v="Supply Chain Analyst"/>
    <x v="0"/>
    <x v="187"/>
    <x v="1"/>
    <n v="2"/>
    <n v="1"/>
    <x v="0"/>
    <x v="1"/>
    <x v="1"/>
    <x v="1"/>
    <n v="12"/>
    <n v="34"/>
    <n v="88484"/>
    <n v="9600"/>
    <n v="3.7"/>
    <x v="0"/>
  </r>
  <r>
    <s v="EMP1201"/>
    <s v="Mary Jones"/>
    <x v="23"/>
    <x v="1"/>
    <s v="Diploma"/>
    <s v="New York"/>
    <x v="7"/>
    <s v="IT Manager"/>
    <x v="0"/>
    <x v="188"/>
    <x v="2"/>
    <n v="0"/>
    <n v="17"/>
    <x v="3"/>
    <x v="2"/>
    <x v="4"/>
    <x v="1"/>
    <n v="10"/>
    <n v="62"/>
    <n v="86762"/>
    <n v="6200"/>
    <n v="5.2"/>
    <x v="0"/>
  </r>
  <r>
    <s v="EMP1202"/>
    <s v="Mary Garcia"/>
    <x v="3"/>
    <x v="1"/>
    <s v="High School"/>
    <s v="New York"/>
    <x v="4"/>
    <s v="Support Analyst"/>
    <x v="1"/>
    <x v="189"/>
    <x v="0"/>
    <n v="1"/>
    <n v="10"/>
    <x v="0"/>
    <x v="3"/>
    <x v="3"/>
    <x v="1"/>
    <n v="4"/>
    <n v="43"/>
    <n v="51425"/>
    <n v="5100"/>
    <n v="6.1"/>
    <x v="0"/>
  </r>
  <r>
    <s v="EMP1203"/>
    <s v="Patricia Lopez"/>
    <x v="11"/>
    <x v="1"/>
    <s v="Bachelor's"/>
    <s v="Houston"/>
    <x v="3"/>
    <s v="Logistics Coordinator"/>
    <x v="0"/>
    <x v="190"/>
    <x v="2"/>
    <n v="0"/>
    <n v="20"/>
    <x v="2"/>
    <x v="2"/>
    <x v="0"/>
    <x v="1"/>
    <n v="21"/>
    <n v="25"/>
    <n v="82545"/>
    <n v="19600"/>
    <n v="13.9"/>
    <x v="0"/>
  </r>
  <r>
    <s v="EMP1204"/>
    <s v="Daniel Anderson"/>
    <x v="15"/>
    <x v="2"/>
    <s v="Bachelor's"/>
    <s v="New York"/>
    <x v="1"/>
    <s v="Sales Manager"/>
    <x v="0"/>
    <x v="191"/>
    <x v="1"/>
    <n v="2"/>
    <n v="5"/>
    <x v="0"/>
    <x v="4"/>
    <x v="2"/>
    <x v="0"/>
    <n v="9"/>
    <n v="56"/>
    <n v="81525"/>
    <n v="10600"/>
    <n v="5.2"/>
    <x v="0"/>
  </r>
  <r>
    <s v="EMP1205"/>
    <s v="Michael Johnson"/>
    <x v="13"/>
    <x v="2"/>
    <s v="Master's"/>
    <s v="San Diego"/>
    <x v="5"/>
    <s v="Content Strategist"/>
    <x v="0"/>
    <x v="192"/>
    <x v="1"/>
    <n v="2"/>
    <n v="20"/>
    <x v="0"/>
    <x v="2"/>
    <x v="2"/>
    <x v="1"/>
    <n v="22"/>
    <n v="47"/>
    <n v="85131"/>
    <n v="9100"/>
    <n v="11.2"/>
    <x v="0"/>
  </r>
  <r>
    <s v="EMP1206"/>
    <s v="Jessica Davis"/>
    <x v="21"/>
    <x v="1"/>
    <s v="Bachelor's"/>
    <s v="Chicago"/>
    <x v="2"/>
    <s v="Senior Engineer"/>
    <x v="1"/>
    <x v="193"/>
    <x v="1"/>
    <n v="2"/>
    <n v="8"/>
    <x v="1"/>
    <x v="4"/>
    <x v="0"/>
    <x v="0"/>
    <n v="15"/>
    <n v="41"/>
    <n v="71967"/>
    <n v="2500"/>
    <n v="5.7"/>
    <x v="0"/>
  </r>
  <r>
    <s v="EMP1207"/>
    <s v="Susan Miller"/>
    <x v="23"/>
    <x v="1"/>
    <s v="Bachelor's"/>
    <s v="New York"/>
    <x v="2"/>
    <s v="DevOps Engineer"/>
    <x v="2"/>
    <x v="194"/>
    <x v="3"/>
    <n v="3"/>
    <n v="13"/>
    <x v="0"/>
    <x v="0"/>
    <x v="0"/>
    <x v="1"/>
    <n v="17"/>
    <n v="50"/>
    <n v="138843"/>
    <n v="18000"/>
    <n v="3.5"/>
    <x v="0"/>
  </r>
  <r>
    <s v="EMP1208"/>
    <s v="Sarah Gonzalez"/>
    <x v="4"/>
    <x v="1"/>
    <s v="Diploma"/>
    <s v="Chicago"/>
    <x v="1"/>
    <s v="Sales Executive"/>
    <x v="0"/>
    <x v="9"/>
    <x v="3"/>
    <n v="3"/>
    <n v="15"/>
    <x v="0"/>
    <x v="4"/>
    <x v="1"/>
    <x v="1"/>
    <n v="23"/>
    <n v="64"/>
    <n v="63737"/>
    <n v="7400"/>
    <n v="10.4"/>
    <x v="1"/>
  </r>
  <r>
    <s v="EMP1209"/>
    <s v="Charles Anderson"/>
    <x v="23"/>
    <x v="2"/>
    <s v="Bachelor's"/>
    <s v="Chicago"/>
    <x v="2"/>
    <s v="Software Engineer"/>
    <x v="0"/>
    <x v="195"/>
    <x v="1"/>
    <n v="2"/>
    <n v="11"/>
    <x v="0"/>
    <x v="1"/>
    <x v="1"/>
    <x v="0"/>
    <n v="3"/>
    <n v="57"/>
    <n v="129464"/>
    <n v="16900"/>
    <n v="5.4"/>
    <x v="0"/>
  </r>
  <r>
    <s v="EMP1210"/>
    <s v="Daniel Miller"/>
    <x v="3"/>
    <x v="2"/>
    <s v="PhD"/>
    <s v="New York"/>
    <x v="7"/>
    <s v="IT Manager"/>
    <x v="0"/>
    <x v="196"/>
    <x v="1"/>
    <n v="2"/>
    <n v="13"/>
    <x v="0"/>
    <x v="3"/>
    <x v="2"/>
    <x v="0"/>
    <n v="9"/>
    <n v="80"/>
    <n v="76967"/>
    <n v="9800"/>
    <n v="4.8"/>
    <x v="0"/>
  </r>
  <r>
    <s v="EMP1211"/>
    <s v="Robert Brown"/>
    <x v="8"/>
    <x v="2"/>
    <s v="Master's"/>
    <s v="San Diego"/>
    <x v="2"/>
    <s v="Senior Engineer"/>
    <x v="0"/>
    <x v="197"/>
    <x v="3"/>
    <n v="3"/>
    <n v="9"/>
    <x v="0"/>
    <x v="4"/>
    <x v="1"/>
    <x v="1"/>
    <n v="19"/>
    <n v="76"/>
    <n v="135358"/>
    <n v="13000"/>
    <n v="13.6"/>
    <x v="0"/>
  </r>
  <r>
    <s v="EMP1212"/>
    <s v="Thomas Jones"/>
    <x v="1"/>
    <x v="2"/>
    <s v="Master's"/>
    <s v="Los Angeles"/>
    <x v="3"/>
    <s v="Operations Analyst"/>
    <x v="0"/>
    <x v="198"/>
    <x v="1"/>
    <n v="2"/>
    <n v="5"/>
    <x v="2"/>
    <x v="4"/>
    <x v="3"/>
    <x v="1"/>
    <n v="5"/>
    <n v="36"/>
    <n v="47406"/>
    <n v="7700"/>
    <n v="9.9"/>
    <x v="0"/>
  </r>
  <r>
    <s v="EMP1213"/>
    <s v="Reese Garcia"/>
    <x v="10"/>
    <x v="0"/>
    <s v="Bachelor's"/>
    <s v="Los Angeles"/>
    <x v="5"/>
    <s v="Marketing Manager"/>
    <x v="0"/>
    <x v="69"/>
    <x v="3"/>
    <n v="3"/>
    <n v="10"/>
    <x v="3"/>
    <x v="3"/>
    <x v="4"/>
    <x v="1"/>
    <n v="16"/>
    <n v="52"/>
    <n v="69834"/>
    <n v="5400"/>
    <n v="13.1"/>
    <x v="1"/>
  </r>
  <r>
    <s v="EMP1214"/>
    <s v="Karen Smith"/>
    <x v="23"/>
    <x v="1"/>
    <s v="Master's"/>
    <s v="Chicago"/>
    <x v="2"/>
    <s v="Senior Engineer"/>
    <x v="0"/>
    <x v="194"/>
    <x v="3"/>
    <n v="3"/>
    <n v="17"/>
    <x v="0"/>
    <x v="4"/>
    <x v="0"/>
    <x v="1"/>
    <n v="23"/>
    <n v="80"/>
    <n v="107642"/>
    <n v="14700"/>
    <n v="6.1"/>
    <x v="0"/>
  </r>
  <r>
    <s v="EMP1215"/>
    <s v="Robert Anderson"/>
    <x v="15"/>
    <x v="2"/>
    <s v="Bachelor's"/>
    <s v="San Antonio"/>
    <x v="7"/>
    <s v="Systems Administrator"/>
    <x v="0"/>
    <x v="199"/>
    <x v="1"/>
    <n v="2"/>
    <n v="7"/>
    <x v="0"/>
    <x v="3"/>
    <x v="0"/>
    <x v="1"/>
    <n v="20"/>
    <n v="27"/>
    <n v="85466"/>
    <n v="8700"/>
    <n v="13.2"/>
    <x v="0"/>
  </r>
  <r>
    <s v="EMP1216"/>
    <s v="Nancy Jones"/>
    <x v="23"/>
    <x v="1"/>
    <s v="Master's"/>
    <s v="Chicago"/>
    <x v="7"/>
    <s v="IT Analyst"/>
    <x v="0"/>
    <x v="200"/>
    <x v="0"/>
    <n v="1"/>
    <n v="10"/>
    <x v="2"/>
    <x v="3"/>
    <x v="2"/>
    <x v="1"/>
    <n v="15"/>
    <n v="4"/>
    <n v="55401"/>
    <n v="10300"/>
    <n v="7.8"/>
    <x v="0"/>
  </r>
  <r>
    <s v="EMP1217"/>
    <s v="Christopher Davis"/>
    <x v="6"/>
    <x v="2"/>
    <s v="PhD"/>
    <s v="Philadelphia"/>
    <x v="6"/>
    <s v="HR Manager"/>
    <x v="0"/>
    <x v="201"/>
    <x v="0"/>
    <n v="1"/>
    <n v="14"/>
    <x v="0"/>
    <x v="3"/>
    <x v="1"/>
    <x v="1"/>
    <n v="4"/>
    <n v="35"/>
    <n v="59617"/>
    <n v="7700"/>
    <n v="9.6999999999999993"/>
    <x v="1"/>
  </r>
  <r>
    <s v="EMP1218"/>
    <s v="Richard Hernandez"/>
    <x v="10"/>
    <x v="2"/>
    <s v="Master's"/>
    <s v="San Diego"/>
    <x v="0"/>
    <s v="Financial Analyst"/>
    <x v="2"/>
    <x v="167"/>
    <x v="1"/>
    <n v="2"/>
    <n v="13"/>
    <x v="3"/>
    <x v="3"/>
    <x v="2"/>
    <x v="1"/>
    <n v="9"/>
    <n v="27"/>
    <n v="106271"/>
    <n v="8000"/>
    <n v="6.8"/>
    <x v="1"/>
  </r>
  <r>
    <s v="EMP1219"/>
    <s v="David Gonzalez"/>
    <x v="11"/>
    <x v="2"/>
    <s v="Bachelor's"/>
    <s v="Philadelphia"/>
    <x v="1"/>
    <s v="Account Manager"/>
    <x v="0"/>
    <x v="202"/>
    <x v="3"/>
    <n v="3"/>
    <n v="15"/>
    <x v="1"/>
    <x v="1"/>
    <x v="0"/>
    <x v="1"/>
    <n v="21"/>
    <n v="16"/>
    <n v="76631"/>
    <n v="2000"/>
    <n v="7.1"/>
    <x v="0"/>
  </r>
  <r>
    <s v="EMP1220"/>
    <s v="Jessica Miller"/>
    <x v="18"/>
    <x v="1"/>
    <s v="Bachelor's"/>
    <s v="Houston"/>
    <x v="2"/>
    <s v="Senior Engineer"/>
    <x v="0"/>
    <x v="51"/>
    <x v="3"/>
    <n v="3"/>
    <n v="2"/>
    <x v="2"/>
    <x v="0"/>
    <x v="4"/>
    <x v="1"/>
    <n v="8"/>
    <n v="68"/>
    <n v="76047"/>
    <n v="16800"/>
    <n v="11.9"/>
    <x v="1"/>
  </r>
  <r>
    <s v="EMP1221"/>
    <s v="Lisa Johnson"/>
    <x v="2"/>
    <x v="1"/>
    <s v="Bachelor's"/>
    <s v="Phoenix"/>
    <x v="7"/>
    <s v="IT Manager"/>
    <x v="0"/>
    <x v="203"/>
    <x v="0"/>
    <n v="1"/>
    <n v="9"/>
    <x v="0"/>
    <x v="0"/>
    <x v="1"/>
    <x v="0"/>
    <n v="9"/>
    <n v="78"/>
    <n v="95825"/>
    <n v="9700"/>
    <n v="9.5"/>
    <x v="0"/>
  </r>
  <r>
    <s v="EMP1222"/>
    <s v="Mary Williams"/>
    <x v="18"/>
    <x v="1"/>
    <s v="Bachelor's"/>
    <s v="San Diego"/>
    <x v="6"/>
    <s v="Recruiter"/>
    <x v="0"/>
    <x v="204"/>
    <x v="3"/>
    <n v="3"/>
    <n v="2"/>
    <x v="0"/>
    <x v="3"/>
    <x v="4"/>
    <x v="1"/>
    <n v="6"/>
    <n v="68"/>
    <n v="45643"/>
    <n v="4800"/>
    <n v="10.199999999999999"/>
    <x v="0"/>
  </r>
  <r>
    <s v="EMP1223"/>
    <s v="Avery Martinez"/>
    <x v="7"/>
    <x v="0"/>
    <s v="Master's"/>
    <s v="San Jose"/>
    <x v="5"/>
    <s v="Marketing Analyst"/>
    <x v="0"/>
    <x v="205"/>
    <x v="1"/>
    <n v="2"/>
    <n v="15"/>
    <x v="0"/>
    <x v="3"/>
    <x v="2"/>
    <x v="0"/>
    <n v="5"/>
    <n v="42"/>
    <n v="89857"/>
    <n v="11900"/>
    <n v="8.6"/>
    <x v="0"/>
  </r>
  <r>
    <s v="EMP1224"/>
    <s v="James Johnson"/>
    <x v="11"/>
    <x v="2"/>
    <s v="PhD"/>
    <s v="Los Angeles"/>
    <x v="3"/>
    <s v="Supply Chain Analyst"/>
    <x v="0"/>
    <x v="206"/>
    <x v="2"/>
    <n v="0"/>
    <n v="16"/>
    <x v="3"/>
    <x v="1"/>
    <x v="4"/>
    <x v="1"/>
    <n v="17"/>
    <n v="59"/>
    <n v="63498"/>
    <n v="4600"/>
    <n v="4.5"/>
    <x v="0"/>
  </r>
  <r>
    <s v="EMP1225"/>
    <s v="Linda Martinez"/>
    <x v="25"/>
    <x v="1"/>
    <s v="Bachelor's"/>
    <s v="Dallas"/>
    <x v="1"/>
    <s v="Business Development Rep"/>
    <x v="0"/>
    <x v="207"/>
    <x v="1"/>
    <n v="2"/>
    <n v="16"/>
    <x v="3"/>
    <x v="0"/>
    <x v="1"/>
    <x v="1"/>
    <n v="23"/>
    <n v="73"/>
    <n v="58647"/>
    <n v="4300"/>
    <n v="12.4"/>
    <x v="0"/>
  </r>
  <r>
    <s v="EMP1226"/>
    <s v="Charles Davis"/>
    <x v="20"/>
    <x v="2"/>
    <s v="Bachelor's"/>
    <s v="San Diego"/>
    <x v="6"/>
    <s v="L&amp;D Specialist"/>
    <x v="0"/>
    <x v="208"/>
    <x v="0"/>
    <n v="1"/>
    <n v="15"/>
    <x v="2"/>
    <x v="1"/>
    <x v="1"/>
    <x v="1"/>
    <n v="6"/>
    <n v="17"/>
    <n v="66594"/>
    <n v="11200"/>
    <n v="12.8"/>
    <x v="0"/>
  </r>
  <r>
    <s v="EMP1227"/>
    <s v="Lisa Williams"/>
    <x v="12"/>
    <x v="1"/>
    <s v="Bachelor's"/>
    <s v="San Antonio"/>
    <x v="5"/>
    <s v="Marketing Analyst"/>
    <x v="0"/>
    <x v="99"/>
    <x v="2"/>
    <n v="0"/>
    <n v="13"/>
    <x v="3"/>
    <x v="3"/>
    <x v="1"/>
    <x v="1"/>
    <n v="18"/>
    <n v="1"/>
    <n v="89663"/>
    <n v="5800"/>
    <n v="12.5"/>
    <x v="0"/>
  </r>
  <r>
    <s v="EMP1228"/>
    <s v="Margaret Jones"/>
    <x v="26"/>
    <x v="1"/>
    <s v="Master's"/>
    <s v="San Jose"/>
    <x v="4"/>
    <s v="Support Analyst"/>
    <x v="0"/>
    <x v="209"/>
    <x v="3"/>
    <n v="3"/>
    <n v="2"/>
    <x v="1"/>
    <x v="3"/>
    <x v="2"/>
    <x v="1"/>
    <n v="12"/>
    <n v="48"/>
    <n v="61894"/>
    <n v="1600"/>
    <n v="6.4"/>
    <x v="1"/>
  </r>
  <r>
    <s v="EMP1229"/>
    <s v="Lisa Williams"/>
    <x v="13"/>
    <x v="1"/>
    <s v="PhD"/>
    <s v="Los Angeles"/>
    <x v="1"/>
    <s v="Business Development Rep"/>
    <x v="0"/>
    <x v="210"/>
    <x v="2"/>
    <n v="0"/>
    <n v="18"/>
    <x v="3"/>
    <x v="0"/>
    <x v="2"/>
    <x v="0"/>
    <n v="21"/>
    <n v="55"/>
    <n v="68611"/>
    <n v="4100"/>
    <n v="15"/>
    <x v="0"/>
  </r>
  <r>
    <s v="EMP1230"/>
    <s v="Christopher Gonzalez"/>
    <x v="19"/>
    <x v="2"/>
    <s v="Master's"/>
    <s v="San Jose"/>
    <x v="7"/>
    <s v="Network Engineer"/>
    <x v="0"/>
    <x v="211"/>
    <x v="2"/>
    <n v="0"/>
    <n v="20"/>
    <x v="0"/>
    <x v="4"/>
    <x v="3"/>
    <x v="0"/>
    <n v="22"/>
    <n v="64"/>
    <n v="84779"/>
    <n v="10400"/>
    <n v="8.4"/>
    <x v="0"/>
  </r>
  <r>
    <s v="EMP1231"/>
    <s v="Thomas Martinez"/>
    <x v="19"/>
    <x v="2"/>
    <s v="Master's"/>
    <s v="Phoenix"/>
    <x v="1"/>
    <s v="Account Manager"/>
    <x v="0"/>
    <x v="212"/>
    <x v="0"/>
    <n v="1"/>
    <n v="19"/>
    <x v="0"/>
    <x v="1"/>
    <x v="0"/>
    <x v="1"/>
    <n v="19"/>
    <n v="11"/>
    <n v="52416"/>
    <n v="7500"/>
    <n v="4"/>
    <x v="0"/>
  </r>
  <r>
    <s v="EMP1232"/>
    <s v="Daniel Hernandez"/>
    <x v="25"/>
    <x v="2"/>
    <s v="Master's"/>
    <s v="Philadelphia"/>
    <x v="1"/>
    <s v="Sales Manager"/>
    <x v="0"/>
    <x v="150"/>
    <x v="3"/>
    <n v="3"/>
    <n v="18"/>
    <x v="0"/>
    <x v="3"/>
    <x v="4"/>
    <x v="1"/>
    <n v="5"/>
    <n v="4"/>
    <n v="67514"/>
    <n v="6500"/>
    <n v="8.4"/>
    <x v="0"/>
  </r>
  <r>
    <s v="EMP1233"/>
    <s v="Karen Jones"/>
    <x v="4"/>
    <x v="1"/>
    <s v="Master's"/>
    <s v="Phoenix"/>
    <x v="6"/>
    <s v="Recruiter"/>
    <x v="0"/>
    <x v="213"/>
    <x v="3"/>
    <n v="3"/>
    <n v="19"/>
    <x v="3"/>
    <x v="2"/>
    <x v="4"/>
    <x v="1"/>
    <n v="8"/>
    <n v="32"/>
    <n v="59120"/>
    <n v="4300"/>
    <n v="6.4"/>
    <x v="1"/>
  </r>
  <r>
    <s v="EMP1234"/>
    <s v="Karen Williams"/>
    <x v="6"/>
    <x v="1"/>
    <s v="Bachelor's"/>
    <s v="Chicago"/>
    <x v="0"/>
    <s v="Financial Analyst"/>
    <x v="0"/>
    <x v="214"/>
    <x v="1"/>
    <n v="2"/>
    <n v="12"/>
    <x v="0"/>
    <x v="0"/>
    <x v="2"/>
    <x v="1"/>
    <n v="24"/>
    <n v="52"/>
    <n v="100925"/>
    <n v="10600"/>
    <n v="9.3000000000000007"/>
    <x v="1"/>
  </r>
  <r>
    <s v="EMP1235"/>
    <s v="Joseph Lopez"/>
    <x v="0"/>
    <x v="2"/>
    <s v="Master's"/>
    <s v="Dallas"/>
    <x v="2"/>
    <s v="DevOps Engineer"/>
    <x v="0"/>
    <x v="215"/>
    <x v="1"/>
    <n v="2"/>
    <n v="12"/>
    <x v="2"/>
    <x v="4"/>
    <x v="2"/>
    <x v="1"/>
    <n v="8"/>
    <n v="18"/>
    <n v="85203"/>
    <n v="16800"/>
    <n v="8.6999999999999993"/>
    <x v="0"/>
  </r>
  <r>
    <s v="EMP1236"/>
    <s v="Mark Gonzalez"/>
    <x v="5"/>
    <x v="2"/>
    <s v="Master's"/>
    <s v="Phoenix"/>
    <x v="1"/>
    <s v="Business Development Rep"/>
    <x v="0"/>
    <x v="216"/>
    <x v="2"/>
    <n v="0"/>
    <n v="11"/>
    <x v="2"/>
    <x v="3"/>
    <x v="1"/>
    <x v="1"/>
    <n v="8"/>
    <n v="74"/>
    <n v="47688"/>
    <n v="9700"/>
    <n v="7.2"/>
    <x v="0"/>
  </r>
  <r>
    <s v="EMP1237"/>
    <s v="Christopher Lopez"/>
    <x v="25"/>
    <x v="2"/>
    <s v="Master's"/>
    <s v="New York"/>
    <x v="4"/>
    <s v="Support Analyst"/>
    <x v="0"/>
    <x v="217"/>
    <x v="1"/>
    <n v="2"/>
    <n v="19"/>
    <x v="3"/>
    <x v="2"/>
    <x v="1"/>
    <x v="1"/>
    <n v="21"/>
    <n v="57"/>
    <n v="57207"/>
    <n v="3500"/>
    <n v="9.6"/>
    <x v="0"/>
  </r>
  <r>
    <s v="EMP1238"/>
    <s v="William Jones"/>
    <x v="4"/>
    <x v="2"/>
    <s v="Bachelor's"/>
    <s v="Chicago"/>
    <x v="2"/>
    <s v="Tech Lead"/>
    <x v="0"/>
    <x v="218"/>
    <x v="1"/>
    <n v="3"/>
    <n v="20"/>
    <x v="1"/>
    <x v="2"/>
    <x v="3"/>
    <x v="1"/>
    <n v="3"/>
    <n v="23"/>
    <n v="98419"/>
    <n v="3100"/>
    <n v="11.5"/>
    <x v="1"/>
  </r>
  <r>
    <s v="EMP1239"/>
    <s v="Christopher Anderson"/>
    <x v="10"/>
    <x v="2"/>
    <s v="Master's"/>
    <s v="New York"/>
    <x v="6"/>
    <s v="Recruiter"/>
    <x v="0"/>
    <x v="219"/>
    <x v="3"/>
    <n v="3"/>
    <n v="9"/>
    <x v="0"/>
    <x v="3"/>
    <x v="3"/>
    <x v="1"/>
    <n v="14"/>
    <n v="8"/>
    <n v="61194"/>
    <n v="8200"/>
    <n v="6.3"/>
    <x v="1"/>
  </r>
  <r>
    <s v="EMP1240"/>
    <s v="Morgan Martinez"/>
    <x v="20"/>
    <x v="0"/>
    <s v="Bachelor's"/>
    <s v="Los Angeles"/>
    <x v="6"/>
    <s v="L&amp;D Specialist"/>
    <x v="0"/>
    <x v="220"/>
    <x v="2"/>
    <n v="0"/>
    <n v="16"/>
    <x v="0"/>
    <x v="3"/>
    <x v="2"/>
    <x v="0"/>
    <n v="0"/>
    <n v="63"/>
    <n v="68262"/>
    <n v="8700"/>
    <n v="14"/>
    <x v="0"/>
  </r>
  <r>
    <s v="EMP1241"/>
    <s v="Mary Anderson"/>
    <x v="14"/>
    <x v="1"/>
    <s v="Master's"/>
    <s v="Los Angeles"/>
    <x v="2"/>
    <s v="Senior Engineer"/>
    <x v="0"/>
    <x v="221"/>
    <x v="3"/>
    <n v="3"/>
    <n v="9"/>
    <x v="0"/>
    <x v="1"/>
    <x v="2"/>
    <x v="1"/>
    <n v="22"/>
    <n v="61"/>
    <n v="121292"/>
    <n v="14600"/>
    <n v="14.3"/>
    <x v="0"/>
  </r>
  <r>
    <s v="EMP1242"/>
    <s v="Sandra Garcia"/>
    <x v="3"/>
    <x v="1"/>
    <s v="Master's"/>
    <s v="Phoenix"/>
    <x v="6"/>
    <s v="HR Executive"/>
    <x v="0"/>
    <x v="33"/>
    <x v="0"/>
    <n v="1"/>
    <n v="13"/>
    <x v="0"/>
    <x v="0"/>
    <x v="0"/>
    <x v="1"/>
    <n v="1"/>
    <n v="49"/>
    <n v="45941"/>
    <n v="6300"/>
    <n v="7.1"/>
    <x v="0"/>
  </r>
  <r>
    <s v="EMP1243"/>
    <s v="Richard Anderson"/>
    <x v="5"/>
    <x v="2"/>
    <s v="Bachelor's"/>
    <s v="Houston"/>
    <x v="5"/>
    <s v="Marketing Manager"/>
    <x v="0"/>
    <x v="222"/>
    <x v="3"/>
    <n v="3"/>
    <n v="12"/>
    <x v="0"/>
    <x v="1"/>
    <x v="0"/>
    <x v="1"/>
    <n v="20"/>
    <n v="39"/>
    <n v="86470"/>
    <n v="9100"/>
    <n v="3.4"/>
    <x v="1"/>
  </r>
  <r>
    <s v="EMP1244"/>
    <s v="Margaret Gonzalez"/>
    <x v="14"/>
    <x v="1"/>
    <s v="Bachelor's"/>
    <s v="Dallas"/>
    <x v="7"/>
    <s v="Systems Administrator"/>
    <x v="0"/>
    <x v="223"/>
    <x v="2"/>
    <n v="0"/>
    <n v="11"/>
    <x v="2"/>
    <x v="2"/>
    <x v="3"/>
    <x v="1"/>
    <n v="2"/>
    <n v="4"/>
    <n v="102252"/>
    <n v="17300"/>
    <n v="12.7"/>
    <x v="0"/>
  </r>
  <r>
    <s v="EMP1245"/>
    <s v="James Davis"/>
    <x v="1"/>
    <x v="2"/>
    <s v="Bachelor's"/>
    <s v="Los Angeles"/>
    <x v="2"/>
    <s v="Senior Engineer"/>
    <x v="0"/>
    <x v="224"/>
    <x v="3"/>
    <n v="3"/>
    <n v="5"/>
    <x v="1"/>
    <x v="2"/>
    <x v="0"/>
    <x v="0"/>
    <n v="7"/>
    <n v="8"/>
    <n v="76548"/>
    <n v="2600"/>
    <n v="4.2"/>
    <x v="0"/>
  </r>
  <r>
    <s v="EMP1246"/>
    <s v="Matthew Wilson"/>
    <x v="17"/>
    <x v="2"/>
    <s v="Bachelor's"/>
    <s v="Phoenix"/>
    <x v="0"/>
    <s v="Finance Manager"/>
    <x v="0"/>
    <x v="225"/>
    <x v="2"/>
    <n v="0"/>
    <n v="19"/>
    <x v="1"/>
    <x v="4"/>
    <x v="3"/>
    <x v="0"/>
    <n v="22"/>
    <n v="47"/>
    <n v="109816"/>
    <n v="2900"/>
    <n v="3.5"/>
    <x v="1"/>
  </r>
  <r>
    <s v="EMP1247"/>
    <s v="Mark Martinez"/>
    <x v="19"/>
    <x v="2"/>
    <s v="PhD"/>
    <s v="San Jose"/>
    <x v="2"/>
    <s v="Senior Engineer"/>
    <x v="2"/>
    <x v="226"/>
    <x v="3"/>
    <n v="3"/>
    <n v="20"/>
    <x v="3"/>
    <x v="4"/>
    <x v="2"/>
    <x v="1"/>
    <n v="22"/>
    <n v="16"/>
    <n v="72048"/>
    <n v="4200"/>
    <n v="3.1"/>
    <x v="0"/>
  </r>
  <r>
    <s v="EMP1248"/>
    <s v="William Rodriguez"/>
    <x v="16"/>
    <x v="2"/>
    <s v="Master's"/>
    <s v="Dallas"/>
    <x v="2"/>
    <s v="Senior Engineer"/>
    <x v="0"/>
    <x v="227"/>
    <x v="2"/>
    <n v="0"/>
    <n v="6"/>
    <x v="0"/>
    <x v="1"/>
    <x v="0"/>
    <x v="1"/>
    <n v="3"/>
    <n v="79"/>
    <n v="135521"/>
    <n v="13600"/>
    <n v="12.9"/>
    <x v="0"/>
  </r>
  <r>
    <s v="EMP1249"/>
    <s v="Sarah Rodriguez"/>
    <x v="14"/>
    <x v="1"/>
    <s v="Bachelor's"/>
    <s v="New York"/>
    <x v="0"/>
    <s v="Accountant"/>
    <x v="0"/>
    <x v="228"/>
    <x v="1"/>
    <n v="2"/>
    <n v="7"/>
    <x v="3"/>
    <x v="3"/>
    <x v="4"/>
    <x v="0"/>
    <n v="6"/>
    <n v="55"/>
    <n v="62384"/>
    <n v="4700"/>
    <n v="14.6"/>
    <x v="0"/>
  </r>
  <r>
    <s v="EMP1250"/>
    <s v="Matthew Anderson"/>
    <x v="2"/>
    <x v="2"/>
    <s v="Bachelor's"/>
    <s v="Philadelphia"/>
    <x v="2"/>
    <s v="Tech Lead"/>
    <x v="0"/>
    <x v="81"/>
    <x v="2"/>
    <n v="0"/>
    <n v="2"/>
    <x v="0"/>
    <x v="3"/>
    <x v="3"/>
    <x v="1"/>
    <n v="24"/>
    <n v="14"/>
    <n v="73809"/>
    <n v="7500"/>
    <n v="13.7"/>
    <x v="0"/>
  </r>
  <r>
    <s v="EMP1251"/>
    <s v="Michael Lopez"/>
    <x v="8"/>
    <x v="2"/>
    <s v="Master's"/>
    <s v="Philadelphia"/>
    <x v="2"/>
    <s v="Tech Lead"/>
    <x v="0"/>
    <x v="188"/>
    <x v="2"/>
    <n v="0"/>
    <n v="8"/>
    <x v="2"/>
    <x v="0"/>
    <x v="4"/>
    <x v="0"/>
    <n v="8"/>
    <n v="25"/>
    <n v="133492"/>
    <n v="26000"/>
    <n v="5.6"/>
    <x v="0"/>
  </r>
  <r>
    <s v="EMP1252"/>
    <s v="Daniel Martinez"/>
    <x v="14"/>
    <x v="2"/>
    <s v="Master's"/>
    <s v="San Jose"/>
    <x v="3"/>
    <s v="Supply Chain Analyst"/>
    <x v="1"/>
    <x v="229"/>
    <x v="3"/>
    <n v="3"/>
    <n v="4"/>
    <x v="3"/>
    <x v="2"/>
    <x v="0"/>
    <x v="1"/>
    <n v="7"/>
    <n v="11"/>
    <n v="56219"/>
    <n v="3500"/>
    <n v="6.5"/>
    <x v="0"/>
  </r>
  <r>
    <s v="EMP1253"/>
    <s v="Jessica Wilson"/>
    <x v="5"/>
    <x v="1"/>
    <s v="Bachelor's"/>
    <s v="San Jose"/>
    <x v="1"/>
    <s v="Business Development Rep"/>
    <x v="1"/>
    <x v="230"/>
    <x v="1"/>
    <n v="2"/>
    <n v="15"/>
    <x v="3"/>
    <x v="2"/>
    <x v="1"/>
    <x v="1"/>
    <n v="13"/>
    <n v="5"/>
    <n v="73056"/>
    <n v="4600"/>
    <n v="6.9"/>
    <x v="0"/>
  </r>
  <r>
    <s v="EMP1254"/>
    <s v="Quinn Smith"/>
    <x v="20"/>
    <x v="0"/>
    <s v="Master's"/>
    <s v="Philadelphia"/>
    <x v="5"/>
    <s v="Marketing Analyst"/>
    <x v="0"/>
    <x v="231"/>
    <x v="2"/>
    <n v="0"/>
    <n v="16"/>
    <x v="2"/>
    <x v="1"/>
    <x v="1"/>
    <x v="0"/>
    <n v="15"/>
    <n v="39"/>
    <n v="60762"/>
    <n v="13400"/>
    <n v="11.3"/>
    <x v="0"/>
  </r>
  <r>
    <s v="EMP1255"/>
    <s v="Margaret Martinez"/>
    <x v="14"/>
    <x v="1"/>
    <s v="Bachelor's"/>
    <s v="Philadelphia"/>
    <x v="7"/>
    <s v="Network Engineer"/>
    <x v="0"/>
    <x v="88"/>
    <x v="3"/>
    <n v="3"/>
    <n v="5"/>
    <x v="0"/>
    <x v="3"/>
    <x v="2"/>
    <x v="1"/>
    <n v="24"/>
    <n v="34"/>
    <n v="79275"/>
    <n v="10300"/>
    <n v="3"/>
    <x v="0"/>
  </r>
  <r>
    <s v="EMP1256"/>
    <s v="Patricia Martinez"/>
    <x v="25"/>
    <x v="1"/>
    <s v="Diploma"/>
    <s v="Los Angeles"/>
    <x v="7"/>
    <s v="Network Engineer"/>
    <x v="0"/>
    <x v="232"/>
    <x v="0"/>
    <n v="1"/>
    <n v="17"/>
    <x v="0"/>
    <x v="0"/>
    <x v="3"/>
    <x v="1"/>
    <n v="10"/>
    <n v="30"/>
    <n v="62272"/>
    <n v="7400"/>
    <n v="3.5"/>
    <x v="0"/>
  </r>
  <r>
    <s v="EMP1257"/>
    <s v="Nancy Gonzalez"/>
    <x v="3"/>
    <x v="1"/>
    <s v="Bachelor's"/>
    <s v="Dallas"/>
    <x v="1"/>
    <s v="Sales Executive"/>
    <x v="0"/>
    <x v="233"/>
    <x v="1"/>
    <n v="2"/>
    <n v="8"/>
    <x v="0"/>
    <x v="1"/>
    <x v="2"/>
    <x v="1"/>
    <n v="22"/>
    <n v="68"/>
    <n v="62521"/>
    <n v="7300"/>
    <n v="3.7"/>
    <x v="0"/>
  </r>
  <r>
    <s v="EMP1258"/>
    <s v="David Gonzalez"/>
    <x v="24"/>
    <x v="2"/>
    <s v="Bachelor's"/>
    <s v="San Diego"/>
    <x v="2"/>
    <s v="Tech Lead"/>
    <x v="0"/>
    <x v="234"/>
    <x v="3"/>
    <n v="3"/>
    <n v="3"/>
    <x v="0"/>
    <x v="0"/>
    <x v="0"/>
    <x v="1"/>
    <n v="20"/>
    <n v="2"/>
    <n v="93437"/>
    <n v="13300"/>
    <n v="4.3"/>
    <x v="0"/>
  </r>
  <r>
    <s v="EMP1259"/>
    <s v="Christopher Rodriguez"/>
    <x v="4"/>
    <x v="2"/>
    <s v="Master's"/>
    <s v="Philadelphia"/>
    <x v="2"/>
    <s v="Tech Lead"/>
    <x v="0"/>
    <x v="235"/>
    <x v="1"/>
    <n v="2"/>
    <n v="14"/>
    <x v="0"/>
    <x v="3"/>
    <x v="4"/>
    <x v="1"/>
    <n v="15"/>
    <n v="75"/>
    <n v="72815"/>
    <n v="7200"/>
    <n v="13.5"/>
    <x v="0"/>
  </r>
  <r>
    <s v="EMP1260"/>
    <s v="Charles Williams"/>
    <x v="0"/>
    <x v="2"/>
    <s v="Master's"/>
    <s v="Chicago"/>
    <x v="7"/>
    <s v="Systems Administrator"/>
    <x v="0"/>
    <x v="236"/>
    <x v="0"/>
    <n v="1"/>
    <n v="9"/>
    <x v="3"/>
    <x v="3"/>
    <x v="3"/>
    <x v="0"/>
    <n v="5"/>
    <n v="19"/>
    <n v="73883"/>
    <n v="4200"/>
    <n v="7.2"/>
    <x v="0"/>
  </r>
  <r>
    <s v="EMP1261"/>
    <s v="James Garcia"/>
    <x v="6"/>
    <x v="2"/>
    <s v="Bachelor's"/>
    <s v="Chicago"/>
    <x v="4"/>
    <s v="Support Lead"/>
    <x v="0"/>
    <x v="237"/>
    <x v="1"/>
    <n v="2"/>
    <n v="12"/>
    <x v="2"/>
    <x v="1"/>
    <x v="1"/>
    <x v="1"/>
    <n v="12"/>
    <n v="63"/>
    <n v="58171"/>
    <n v="10800"/>
    <n v="7.1"/>
    <x v="0"/>
  </r>
  <r>
    <s v="EMP1262"/>
    <s v="Sandra Garcia"/>
    <x v="19"/>
    <x v="1"/>
    <s v="Bachelor's"/>
    <s v="Chicago"/>
    <x v="4"/>
    <s v="Support Lead"/>
    <x v="0"/>
    <x v="238"/>
    <x v="1"/>
    <n v="2"/>
    <n v="18"/>
    <x v="0"/>
    <x v="4"/>
    <x v="4"/>
    <x v="1"/>
    <n v="22"/>
    <n v="14"/>
    <n v="58116"/>
    <n v="8100"/>
    <n v="14.6"/>
    <x v="0"/>
  </r>
  <r>
    <s v="EMP1263"/>
    <s v="Jennifer Hernandez"/>
    <x v="7"/>
    <x v="1"/>
    <s v="Bachelor's"/>
    <s v="Phoenix"/>
    <x v="2"/>
    <s v="DevOps Engineer"/>
    <x v="0"/>
    <x v="112"/>
    <x v="3"/>
    <n v="3"/>
    <n v="13"/>
    <x v="0"/>
    <x v="1"/>
    <x v="0"/>
    <x v="1"/>
    <n v="14"/>
    <n v="11"/>
    <n v="82121"/>
    <n v="10300"/>
    <n v="5.3"/>
    <x v="0"/>
  </r>
  <r>
    <s v="EMP1264"/>
    <s v="David Martinez"/>
    <x v="10"/>
    <x v="2"/>
    <s v="Master's"/>
    <s v="Dallas"/>
    <x v="1"/>
    <s v="Business Development Rep"/>
    <x v="0"/>
    <x v="239"/>
    <x v="3"/>
    <n v="3"/>
    <n v="13"/>
    <x v="0"/>
    <x v="4"/>
    <x v="2"/>
    <x v="1"/>
    <n v="14"/>
    <n v="36"/>
    <n v="73025"/>
    <n v="8300"/>
    <n v="6.4"/>
    <x v="0"/>
  </r>
  <r>
    <s v="EMP1265"/>
    <s v="Sandra Miller"/>
    <x v="12"/>
    <x v="1"/>
    <s v="Bachelor's"/>
    <s v="San Antonio"/>
    <x v="3"/>
    <s v="Operations Manager"/>
    <x v="0"/>
    <x v="240"/>
    <x v="2"/>
    <n v="0"/>
    <n v="19"/>
    <x v="0"/>
    <x v="4"/>
    <x v="4"/>
    <x v="1"/>
    <n v="13"/>
    <n v="22"/>
    <n v="64872"/>
    <n v="8900"/>
    <n v="14.8"/>
    <x v="1"/>
  </r>
  <r>
    <s v="EMP1266"/>
    <s v="Betty Anderson"/>
    <x v="20"/>
    <x v="1"/>
    <s v="Master's"/>
    <s v="Houston"/>
    <x v="0"/>
    <s v="Controller"/>
    <x v="0"/>
    <x v="241"/>
    <x v="1"/>
    <n v="2"/>
    <n v="13"/>
    <x v="3"/>
    <x v="1"/>
    <x v="3"/>
    <x v="1"/>
    <n v="8"/>
    <n v="38"/>
    <n v="57767"/>
    <n v="3700"/>
    <n v="10"/>
    <x v="0"/>
  </r>
  <r>
    <s v="EMP1267"/>
    <s v="Christopher Anderson"/>
    <x v="5"/>
    <x v="2"/>
    <s v="Bachelor's"/>
    <s v="San Antonio"/>
    <x v="6"/>
    <s v="L&amp;D Specialist"/>
    <x v="2"/>
    <x v="242"/>
    <x v="0"/>
    <n v="1"/>
    <n v="16"/>
    <x v="0"/>
    <x v="4"/>
    <x v="1"/>
    <x v="1"/>
    <n v="11"/>
    <n v="65"/>
    <n v="58167"/>
    <n v="8300"/>
    <n v="10.199999999999999"/>
    <x v="0"/>
  </r>
  <r>
    <s v="EMP1268"/>
    <s v="Jennifer Martinez"/>
    <x v="20"/>
    <x v="1"/>
    <s v="Bachelor's"/>
    <s v="Dallas"/>
    <x v="7"/>
    <s v="IT Analyst"/>
    <x v="0"/>
    <x v="243"/>
    <x v="3"/>
    <n v="3"/>
    <n v="15"/>
    <x v="0"/>
    <x v="1"/>
    <x v="0"/>
    <x v="0"/>
    <n v="6"/>
    <n v="80"/>
    <n v="58466"/>
    <n v="6800"/>
    <n v="13.9"/>
    <x v="0"/>
  </r>
  <r>
    <s v="EMP1269"/>
    <s v="Karen Gonzalez"/>
    <x v="10"/>
    <x v="1"/>
    <s v="Bachelor's"/>
    <s v="Dallas"/>
    <x v="0"/>
    <s v="Finance Manager"/>
    <x v="0"/>
    <x v="244"/>
    <x v="1"/>
    <n v="2"/>
    <n v="11"/>
    <x v="3"/>
    <x v="4"/>
    <x v="2"/>
    <x v="0"/>
    <n v="10"/>
    <n v="20"/>
    <n v="100741"/>
    <n v="5900"/>
    <n v="10"/>
    <x v="0"/>
  </r>
  <r>
    <s v="EMP1270"/>
    <s v="Thomas Brown"/>
    <x v="9"/>
    <x v="2"/>
    <s v="Master's"/>
    <s v="New York"/>
    <x v="1"/>
    <s v="Sales Executive"/>
    <x v="0"/>
    <x v="245"/>
    <x v="1"/>
    <n v="2"/>
    <n v="17"/>
    <x v="3"/>
    <x v="3"/>
    <x v="4"/>
    <x v="1"/>
    <n v="4"/>
    <n v="56"/>
    <n v="91023"/>
    <n v="5400"/>
    <n v="8.5"/>
    <x v="1"/>
  </r>
  <r>
    <s v="EMP1271"/>
    <s v="William Smith"/>
    <x v="21"/>
    <x v="2"/>
    <s v="Bachelor's"/>
    <s v="San Diego"/>
    <x v="3"/>
    <s v="Supply Chain Analyst"/>
    <x v="0"/>
    <x v="246"/>
    <x v="3"/>
    <n v="3"/>
    <n v="5"/>
    <x v="2"/>
    <x v="1"/>
    <x v="3"/>
    <x v="0"/>
    <n v="3"/>
    <n v="4"/>
    <n v="58752"/>
    <n v="9800"/>
    <n v="11.3"/>
    <x v="0"/>
  </r>
  <r>
    <s v="EMP1272"/>
    <s v="Mark Jones"/>
    <x v="26"/>
    <x v="2"/>
    <s v="PhD"/>
    <s v="Phoenix"/>
    <x v="2"/>
    <s v="Software Engineer"/>
    <x v="1"/>
    <x v="247"/>
    <x v="3"/>
    <n v="3"/>
    <n v="1"/>
    <x v="0"/>
    <x v="3"/>
    <x v="4"/>
    <x v="0"/>
    <n v="5"/>
    <n v="64"/>
    <n v="96922"/>
    <n v="10200"/>
    <n v="11"/>
    <x v="1"/>
  </r>
  <r>
    <s v="EMP1273"/>
    <s v="John Johnson"/>
    <x v="14"/>
    <x v="2"/>
    <s v="Bachelor's"/>
    <s v="San Diego"/>
    <x v="0"/>
    <s v="Finance Manager"/>
    <x v="0"/>
    <x v="248"/>
    <x v="3"/>
    <n v="3"/>
    <n v="7"/>
    <x v="0"/>
    <x v="2"/>
    <x v="3"/>
    <x v="1"/>
    <n v="14"/>
    <n v="13"/>
    <n v="104415"/>
    <n v="14900"/>
    <n v="4.2"/>
    <x v="0"/>
  </r>
  <r>
    <s v="EMP1274"/>
    <s v="Susan Miller"/>
    <x v="10"/>
    <x v="1"/>
    <s v="PhD"/>
    <s v="Dallas"/>
    <x v="7"/>
    <s v="Network Engineer"/>
    <x v="0"/>
    <x v="249"/>
    <x v="1"/>
    <n v="2"/>
    <n v="14"/>
    <x v="2"/>
    <x v="1"/>
    <x v="4"/>
    <x v="1"/>
    <n v="15"/>
    <n v="14"/>
    <n v="75596"/>
    <n v="12800"/>
    <n v="4.5999999999999996"/>
    <x v="0"/>
  </r>
  <r>
    <s v="EMP1275"/>
    <s v="Charles Lopez"/>
    <x v="23"/>
    <x v="2"/>
    <s v="Master's"/>
    <s v="Philadelphia"/>
    <x v="1"/>
    <s v="Business Development Rep"/>
    <x v="0"/>
    <x v="250"/>
    <x v="0"/>
    <n v="1"/>
    <n v="15"/>
    <x v="1"/>
    <x v="4"/>
    <x v="1"/>
    <x v="1"/>
    <n v="12"/>
    <n v="56"/>
    <n v="64044"/>
    <n v="1900"/>
    <n v="13.3"/>
    <x v="0"/>
  </r>
  <r>
    <s v="EMP1276"/>
    <s v="Richard Miller"/>
    <x v="21"/>
    <x v="2"/>
    <s v="High School"/>
    <s v="San Diego"/>
    <x v="1"/>
    <s v="Sales Executive"/>
    <x v="0"/>
    <x v="60"/>
    <x v="3"/>
    <n v="3"/>
    <n v="3"/>
    <x v="0"/>
    <x v="2"/>
    <x v="0"/>
    <x v="1"/>
    <n v="8"/>
    <n v="51"/>
    <n v="67192"/>
    <n v="9200"/>
    <n v="7.9"/>
    <x v="0"/>
  </r>
  <r>
    <s v="EMP1277"/>
    <s v="Charles Miller"/>
    <x v="0"/>
    <x v="2"/>
    <s v="Bachelor's"/>
    <s v="Los Angeles"/>
    <x v="1"/>
    <s v="Account Manager"/>
    <x v="0"/>
    <x v="251"/>
    <x v="2"/>
    <n v="0"/>
    <n v="5"/>
    <x v="0"/>
    <x v="1"/>
    <x v="3"/>
    <x v="1"/>
    <n v="12"/>
    <n v="77"/>
    <n v="61429"/>
    <n v="6600"/>
    <n v="14.3"/>
    <x v="1"/>
  </r>
  <r>
    <s v="EMP1278"/>
    <s v="Charles Martinez"/>
    <x v="13"/>
    <x v="2"/>
    <s v="PhD"/>
    <s v="Dallas"/>
    <x v="6"/>
    <s v="Recruiter"/>
    <x v="0"/>
    <x v="252"/>
    <x v="3"/>
    <n v="3"/>
    <n v="17"/>
    <x v="0"/>
    <x v="1"/>
    <x v="2"/>
    <x v="1"/>
    <n v="3"/>
    <n v="49"/>
    <n v="53233"/>
    <n v="6400"/>
    <n v="9.1"/>
    <x v="0"/>
  </r>
  <r>
    <s v="EMP1279"/>
    <s v="Richard Davis"/>
    <x v="6"/>
    <x v="2"/>
    <s v="Master's"/>
    <s v="Los Angeles"/>
    <x v="2"/>
    <s v="DevOps Engineer"/>
    <x v="0"/>
    <x v="223"/>
    <x v="2"/>
    <n v="0"/>
    <n v="6"/>
    <x v="3"/>
    <x v="4"/>
    <x v="0"/>
    <x v="1"/>
    <n v="21"/>
    <n v="69"/>
    <n v="109720"/>
    <n v="6600"/>
    <n v="8.1999999999999993"/>
    <x v="0"/>
  </r>
  <r>
    <s v="EMP1280"/>
    <s v="Anthony Williams"/>
    <x v="25"/>
    <x v="2"/>
    <s v="Master's"/>
    <s v="Philadelphia"/>
    <x v="6"/>
    <s v="L&amp;D Specialist"/>
    <x v="0"/>
    <x v="253"/>
    <x v="3"/>
    <n v="3"/>
    <n v="16"/>
    <x v="3"/>
    <x v="2"/>
    <x v="1"/>
    <x v="0"/>
    <n v="24"/>
    <n v="80"/>
    <n v="63118"/>
    <n v="4000"/>
    <n v="3.7"/>
    <x v="0"/>
  </r>
  <r>
    <s v="EMP1281"/>
    <s v="Richard Garcia"/>
    <x v="1"/>
    <x v="2"/>
    <s v="Bachelor's"/>
    <s v="Chicago"/>
    <x v="0"/>
    <s v="Accountant"/>
    <x v="0"/>
    <x v="36"/>
    <x v="0"/>
    <n v="1"/>
    <n v="2"/>
    <x v="0"/>
    <x v="3"/>
    <x v="1"/>
    <x v="0"/>
    <n v="14"/>
    <n v="54"/>
    <n v="97472"/>
    <n v="9800"/>
    <n v="11.3"/>
    <x v="0"/>
  </r>
  <r>
    <s v="EMP1282"/>
    <s v="Daniel Davis"/>
    <x v="9"/>
    <x v="2"/>
    <s v="Bachelor's"/>
    <s v="Philadelphia"/>
    <x v="2"/>
    <s v="DevOps Engineer"/>
    <x v="0"/>
    <x v="254"/>
    <x v="3"/>
    <n v="3"/>
    <n v="19"/>
    <x v="3"/>
    <x v="3"/>
    <x v="4"/>
    <x v="1"/>
    <n v="13"/>
    <n v="25"/>
    <n v="82809"/>
    <n v="4900"/>
    <n v="11.1"/>
    <x v="0"/>
  </r>
  <r>
    <s v="EMP1283"/>
    <s v="Betty Johnson"/>
    <x v="16"/>
    <x v="1"/>
    <s v="High School"/>
    <s v="San Jose"/>
    <x v="0"/>
    <s v="Controller"/>
    <x v="0"/>
    <x v="255"/>
    <x v="1"/>
    <n v="2"/>
    <n v="2"/>
    <x v="3"/>
    <x v="1"/>
    <x v="0"/>
    <x v="1"/>
    <n v="16"/>
    <n v="60"/>
    <n v="81347"/>
    <n v="6000"/>
    <n v="14.5"/>
    <x v="0"/>
  </r>
  <r>
    <s v="EMP1284"/>
    <s v="Matthew Johnson"/>
    <x v="7"/>
    <x v="2"/>
    <s v="Master's"/>
    <s v="Chicago"/>
    <x v="2"/>
    <s v="DevOps Engineer"/>
    <x v="2"/>
    <x v="137"/>
    <x v="0"/>
    <n v="1"/>
    <n v="10"/>
    <x v="0"/>
    <x v="2"/>
    <x v="3"/>
    <x v="1"/>
    <n v="18"/>
    <n v="63"/>
    <n v="111071"/>
    <n v="12800"/>
    <n v="10.5"/>
    <x v="0"/>
  </r>
  <r>
    <s v="EMP1285"/>
    <s v="Margaret Lopez"/>
    <x v="13"/>
    <x v="1"/>
    <s v="Diploma"/>
    <s v="Phoenix"/>
    <x v="5"/>
    <s v="Marketing Manager"/>
    <x v="2"/>
    <x v="84"/>
    <x v="2"/>
    <n v="0"/>
    <n v="18"/>
    <x v="2"/>
    <x v="4"/>
    <x v="4"/>
    <x v="1"/>
    <n v="2"/>
    <n v="26"/>
    <n v="86075"/>
    <n v="15200"/>
    <n v="8.5"/>
    <x v="0"/>
  </r>
  <r>
    <s v="EMP1286"/>
    <s v="William Hernandez"/>
    <x v="11"/>
    <x v="2"/>
    <s v="Bachelor's"/>
    <s v="San Antonio"/>
    <x v="4"/>
    <s v="Support Analyst"/>
    <x v="0"/>
    <x v="256"/>
    <x v="1"/>
    <n v="2"/>
    <n v="20"/>
    <x v="2"/>
    <x v="1"/>
    <x v="3"/>
    <x v="1"/>
    <n v="5"/>
    <n v="34"/>
    <n v="38721"/>
    <n v="6300"/>
    <n v="12.6"/>
    <x v="0"/>
  </r>
  <r>
    <s v="EMP1287"/>
    <s v="Matthew Gonzalez"/>
    <x v="16"/>
    <x v="2"/>
    <s v="High School"/>
    <s v="Los Angeles"/>
    <x v="3"/>
    <s v="Operations Manager"/>
    <x v="1"/>
    <x v="257"/>
    <x v="0"/>
    <n v="1"/>
    <n v="6"/>
    <x v="3"/>
    <x v="4"/>
    <x v="4"/>
    <x v="0"/>
    <n v="21"/>
    <n v="11"/>
    <n v="76840"/>
    <n v="4400"/>
    <n v="13.8"/>
    <x v="0"/>
  </r>
  <r>
    <s v="EMP1288"/>
    <s v="Nancy Wilson"/>
    <x v="17"/>
    <x v="1"/>
    <s v="Diploma"/>
    <s v="Los Angeles"/>
    <x v="1"/>
    <s v="Business Development Rep"/>
    <x v="0"/>
    <x v="258"/>
    <x v="1"/>
    <n v="2"/>
    <n v="19"/>
    <x v="3"/>
    <x v="1"/>
    <x v="4"/>
    <x v="1"/>
    <n v="10"/>
    <n v="74"/>
    <n v="79207"/>
    <n v="5700"/>
    <n v="12.3"/>
    <x v="0"/>
  </r>
  <r>
    <s v="EMP1289"/>
    <s v="Nancy Brown"/>
    <x v="16"/>
    <x v="1"/>
    <s v="Bachelor's"/>
    <s v="Los Angeles"/>
    <x v="2"/>
    <s v="DevOps Engineer"/>
    <x v="0"/>
    <x v="259"/>
    <x v="2"/>
    <n v="0"/>
    <n v="4"/>
    <x v="0"/>
    <x v="4"/>
    <x v="2"/>
    <x v="1"/>
    <n v="21"/>
    <n v="31"/>
    <n v="105985"/>
    <n v="11500"/>
    <n v="10.1"/>
    <x v="0"/>
  </r>
  <r>
    <s v="EMP1290"/>
    <s v="Sandra Williams"/>
    <x v="7"/>
    <x v="1"/>
    <s v="Bachelor's"/>
    <s v="Houston"/>
    <x v="2"/>
    <s v="Tech Lead"/>
    <x v="0"/>
    <x v="260"/>
    <x v="0"/>
    <n v="1"/>
    <n v="12"/>
    <x v="3"/>
    <x v="4"/>
    <x v="4"/>
    <x v="1"/>
    <n v="20"/>
    <n v="46"/>
    <n v="74562"/>
    <n v="5600"/>
    <n v="14.3"/>
    <x v="0"/>
  </r>
  <r>
    <s v="EMP1291"/>
    <s v="Linda Wilson"/>
    <x v="20"/>
    <x v="1"/>
    <s v="Bachelor's"/>
    <s v="San Antonio"/>
    <x v="1"/>
    <s v="Sales Executive"/>
    <x v="0"/>
    <x v="261"/>
    <x v="2"/>
    <n v="0"/>
    <n v="13"/>
    <x v="0"/>
    <x v="3"/>
    <x v="1"/>
    <x v="1"/>
    <n v="24"/>
    <n v="62"/>
    <n v="94588"/>
    <n v="10000"/>
    <n v="13.7"/>
    <x v="0"/>
  </r>
  <r>
    <s v="EMP1292"/>
    <s v="Sandra Wilson"/>
    <x v="16"/>
    <x v="1"/>
    <s v="Master's"/>
    <s v="New York"/>
    <x v="3"/>
    <s v="Logistics Coordinator"/>
    <x v="0"/>
    <x v="262"/>
    <x v="0"/>
    <n v="1"/>
    <n v="4"/>
    <x v="2"/>
    <x v="0"/>
    <x v="2"/>
    <x v="1"/>
    <n v="20"/>
    <n v="17"/>
    <n v="78183"/>
    <n v="15100"/>
    <n v="11.8"/>
    <x v="0"/>
  </r>
  <r>
    <s v="EMP1293"/>
    <s v="Christopher Jones"/>
    <x v="16"/>
    <x v="2"/>
    <s v="Bachelor's"/>
    <s v="Philadelphia"/>
    <x v="0"/>
    <s v="Financial Analyst"/>
    <x v="0"/>
    <x v="263"/>
    <x v="0"/>
    <n v="1"/>
    <n v="4"/>
    <x v="1"/>
    <x v="0"/>
    <x v="4"/>
    <x v="1"/>
    <n v="5"/>
    <n v="75"/>
    <n v="101764"/>
    <n v="3500"/>
    <n v="12.2"/>
    <x v="0"/>
  </r>
  <r>
    <s v="EMP1294"/>
    <s v="Linda Johnson"/>
    <x v="5"/>
    <x v="1"/>
    <s v="Diploma"/>
    <s v="Los Angeles"/>
    <x v="2"/>
    <s v="Tech Lead"/>
    <x v="1"/>
    <x v="264"/>
    <x v="2"/>
    <n v="0"/>
    <n v="13"/>
    <x v="2"/>
    <x v="0"/>
    <x v="4"/>
    <x v="0"/>
    <n v="22"/>
    <n v="21"/>
    <n v="99423"/>
    <n v="16100"/>
    <n v="9.6999999999999993"/>
    <x v="0"/>
  </r>
  <r>
    <s v="EMP1295"/>
    <s v="Richard Martinez"/>
    <x v="6"/>
    <x v="2"/>
    <s v="Diploma"/>
    <s v="San Diego"/>
    <x v="3"/>
    <s v="Operations Analyst"/>
    <x v="0"/>
    <x v="265"/>
    <x v="0"/>
    <n v="1"/>
    <n v="12"/>
    <x v="2"/>
    <x v="0"/>
    <x v="3"/>
    <x v="1"/>
    <n v="8"/>
    <n v="36"/>
    <n v="52690"/>
    <n v="10600"/>
    <n v="12.3"/>
    <x v="0"/>
  </r>
  <r>
    <s v="EMP1296"/>
    <s v="Richard Wilson"/>
    <x v="3"/>
    <x v="2"/>
    <s v="Bachelor's"/>
    <s v="Houston"/>
    <x v="6"/>
    <s v="L&amp;D Specialist"/>
    <x v="0"/>
    <x v="266"/>
    <x v="1"/>
    <n v="2"/>
    <n v="10"/>
    <x v="3"/>
    <x v="4"/>
    <x v="1"/>
    <x v="1"/>
    <n v="0"/>
    <n v="60"/>
    <n v="66773"/>
    <n v="3800"/>
    <n v="14.7"/>
    <x v="0"/>
  </r>
  <r>
    <s v="EMP1297"/>
    <s v="Nancy Miller"/>
    <x v="23"/>
    <x v="1"/>
    <s v="Bachelor's"/>
    <s v="San Jose"/>
    <x v="2"/>
    <s v="Senior Engineer"/>
    <x v="0"/>
    <x v="267"/>
    <x v="1"/>
    <n v="2"/>
    <n v="14"/>
    <x v="2"/>
    <x v="1"/>
    <x v="1"/>
    <x v="1"/>
    <n v="8"/>
    <n v="64"/>
    <n v="77700"/>
    <n v="18200"/>
    <n v="8.6999999999999993"/>
    <x v="0"/>
  </r>
  <r>
    <s v="EMP1298"/>
    <s v="Richard Hernandez"/>
    <x v="24"/>
    <x v="2"/>
    <s v="Bachelor's"/>
    <s v="San Antonio"/>
    <x v="1"/>
    <s v="Business Development Rep"/>
    <x v="0"/>
    <x v="268"/>
    <x v="0"/>
    <n v="1"/>
    <n v="2"/>
    <x v="0"/>
    <x v="1"/>
    <x v="4"/>
    <x v="1"/>
    <n v="1"/>
    <n v="16"/>
    <n v="78013"/>
    <n v="8800"/>
    <n v="8.6"/>
    <x v="1"/>
  </r>
  <r>
    <s v="EMP1299"/>
    <s v="Margaret Jones"/>
    <x v="3"/>
    <x v="1"/>
    <s v="Master's"/>
    <s v="San Diego"/>
    <x v="1"/>
    <s v="Business Development Rep"/>
    <x v="0"/>
    <x v="269"/>
    <x v="0"/>
    <n v="1"/>
    <n v="9"/>
    <x v="3"/>
    <x v="0"/>
    <x v="1"/>
    <x v="0"/>
    <n v="7"/>
    <n v="23"/>
    <n v="73558"/>
    <n v="4800"/>
    <n v="14.9"/>
    <x v="0"/>
  </r>
  <r>
    <s v="EMP1300"/>
    <s v="Robert Lopez"/>
    <x v="7"/>
    <x v="2"/>
    <s v="Bachelor's"/>
    <s v="Philadelphia"/>
    <x v="4"/>
    <s v="Support Executive"/>
    <x v="0"/>
    <x v="270"/>
    <x v="2"/>
    <n v="0"/>
    <n v="16"/>
    <x v="0"/>
    <x v="3"/>
    <x v="3"/>
    <x v="0"/>
    <n v="5"/>
    <n v="65"/>
    <n v="58233"/>
    <n v="6900"/>
    <n v="4.3"/>
    <x v="0"/>
  </r>
  <r>
    <s v="EMP1301"/>
    <s v="Lisa Martinez"/>
    <x v="5"/>
    <x v="1"/>
    <s v="Bachelor's"/>
    <s v="Los Angeles"/>
    <x v="4"/>
    <s v="Customer Success Manager"/>
    <x v="0"/>
    <x v="271"/>
    <x v="1"/>
    <n v="2"/>
    <n v="17"/>
    <x v="0"/>
    <x v="2"/>
    <x v="1"/>
    <x v="0"/>
    <n v="10"/>
    <n v="19"/>
    <n v="37517"/>
    <n v="4500"/>
    <n v="4.0999999999999996"/>
    <x v="0"/>
  </r>
  <r>
    <s v="EMP1302"/>
    <s v="Anthony Lopez"/>
    <x v="8"/>
    <x v="2"/>
    <s v="Bachelor's"/>
    <s v="San Jose"/>
    <x v="5"/>
    <s v="Marketing Analyst"/>
    <x v="0"/>
    <x v="272"/>
    <x v="2"/>
    <n v="0"/>
    <n v="9"/>
    <x v="3"/>
    <x v="1"/>
    <x v="4"/>
    <x v="1"/>
    <n v="10"/>
    <n v="7"/>
    <n v="47873"/>
    <n v="4000"/>
    <n v="6.9"/>
    <x v="0"/>
  </r>
  <r>
    <s v="EMP1303"/>
    <s v="Karen Miller"/>
    <x v="8"/>
    <x v="1"/>
    <s v="High School"/>
    <s v="Chicago"/>
    <x v="3"/>
    <s v="Operations Analyst"/>
    <x v="0"/>
    <x v="253"/>
    <x v="3"/>
    <n v="3"/>
    <n v="6"/>
    <x v="2"/>
    <x v="4"/>
    <x v="2"/>
    <x v="0"/>
    <n v="23"/>
    <n v="39"/>
    <n v="71143"/>
    <n v="16200"/>
    <n v="5"/>
    <x v="0"/>
  </r>
  <r>
    <s v="EMP1304"/>
    <s v="John Wilson"/>
    <x v="11"/>
    <x v="2"/>
    <s v="Diploma"/>
    <s v="Chicago"/>
    <x v="6"/>
    <s v="HR Manager"/>
    <x v="0"/>
    <x v="273"/>
    <x v="0"/>
    <n v="1"/>
    <n v="16"/>
    <x v="0"/>
    <x v="4"/>
    <x v="1"/>
    <x v="1"/>
    <n v="1"/>
    <n v="65"/>
    <n v="71223"/>
    <n v="8900"/>
    <n v="4.0999999999999996"/>
    <x v="0"/>
  </r>
  <r>
    <s v="EMP1305"/>
    <s v="Morgan Hernandez"/>
    <x v="23"/>
    <x v="0"/>
    <s v="Bachelor's"/>
    <s v="Phoenix"/>
    <x v="1"/>
    <s v="Account Manager"/>
    <x v="2"/>
    <x v="274"/>
    <x v="1"/>
    <n v="2"/>
    <n v="17"/>
    <x v="2"/>
    <x v="2"/>
    <x v="2"/>
    <x v="1"/>
    <n v="9"/>
    <n v="72"/>
    <n v="73662"/>
    <n v="16500"/>
    <n v="6.6"/>
    <x v="0"/>
  </r>
  <r>
    <s v="EMP1306"/>
    <s v="Sandra Smith"/>
    <x v="10"/>
    <x v="1"/>
    <s v="Master's"/>
    <s v="Los Angeles"/>
    <x v="1"/>
    <s v="Sales Executive"/>
    <x v="0"/>
    <x v="275"/>
    <x v="3"/>
    <n v="3"/>
    <n v="14"/>
    <x v="0"/>
    <x v="4"/>
    <x v="3"/>
    <x v="1"/>
    <n v="5"/>
    <n v="50"/>
    <n v="92206"/>
    <n v="10000"/>
    <n v="6.1"/>
    <x v="1"/>
  </r>
  <r>
    <s v="EMP1307"/>
    <s v="Mark Lopez"/>
    <x v="25"/>
    <x v="2"/>
    <s v="Master's"/>
    <s v="San Jose"/>
    <x v="2"/>
    <s v="Software Engineer"/>
    <x v="0"/>
    <x v="276"/>
    <x v="0"/>
    <n v="1"/>
    <n v="15"/>
    <x v="0"/>
    <x v="1"/>
    <x v="2"/>
    <x v="0"/>
    <n v="17"/>
    <n v="2"/>
    <n v="104743"/>
    <n v="14700"/>
    <n v="12.7"/>
    <x v="0"/>
  </r>
  <r>
    <s v="EMP1308"/>
    <s v="James Williams"/>
    <x v="12"/>
    <x v="2"/>
    <s v="Bachelor's"/>
    <s v="Chicago"/>
    <x v="4"/>
    <s v="Support Executive"/>
    <x v="0"/>
    <x v="277"/>
    <x v="2"/>
    <n v="0"/>
    <n v="13"/>
    <x v="1"/>
    <x v="0"/>
    <x v="1"/>
    <x v="1"/>
    <n v="0"/>
    <n v="24"/>
    <n v="61644"/>
    <n v="1700"/>
    <n v="11.1"/>
    <x v="0"/>
  </r>
  <r>
    <s v="EMP1309"/>
    <s v="Christopher Williams"/>
    <x v="4"/>
    <x v="2"/>
    <s v="Bachelor's"/>
    <s v="San Diego"/>
    <x v="3"/>
    <s v="Operations Analyst"/>
    <x v="1"/>
    <x v="278"/>
    <x v="1"/>
    <n v="2"/>
    <n v="18"/>
    <x v="2"/>
    <x v="4"/>
    <x v="1"/>
    <x v="1"/>
    <n v="14"/>
    <n v="74"/>
    <n v="75371"/>
    <n v="14600"/>
    <n v="4.4000000000000004"/>
    <x v="0"/>
  </r>
  <r>
    <s v="EMP1310"/>
    <s v="Charles Wilson"/>
    <x v="26"/>
    <x v="2"/>
    <s v="Master's"/>
    <s v="Phoenix"/>
    <x v="4"/>
    <s v="Support Lead"/>
    <x v="0"/>
    <x v="279"/>
    <x v="2"/>
    <n v="0"/>
    <n v="1"/>
    <x v="0"/>
    <x v="4"/>
    <x v="2"/>
    <x v="1"/>
    <n v="16"/>
    <n v="75"/>
    <n v="58366"/>
    <n v="6800"/>
    <n v="8.9"/>
    <x v="0"/>
  </r>
  <r>
    <s v="EMP1311"/>
    <s v="James Rodriguez"/>
    <x v="5"/>
    <x v="2"/>
    <s v="Bachelor's"/>
    <s v="San Diego"/>
    <x v="4"/>
    <s v="Support Analyst"/>
    <x v="0"/>
    <x v="280"/>
    <x v="3"/>
    <n v="3"/>
    <n v="11"/>
    <x v="0"/>
    <x v="1"/>
    <x v="3"/>
    <x v="1"/>
    <n v="9"/>
    <n v="24"/>
    <n v="64257"/>
    <n v="8900"/>
    <n v="4.4000000000000004"/>
    <x v="0"/>
  </r>
  <r>
    <s v="EMP1312"/>
    <s v="Michael Rodriguez"/>
    <x v="23"/>
    <x v="2"/>
    <s v="Bachelor's"/>
    <s v="Philadelphia"/>
    <x v="2"/>
    <s v="DevOps Engineer"/>
    <x v="0"/>
    <x v="281"/>
    <x v="1"/>
    <n v="2"/>
    <n v="11"/>
    <x v="3"/>
    <x v="0"/>
    <x v="0"/>
    <x v="1"/>
    <n v="6"/>
    <n v="36"/>
    <n v="108455"/>
    <n v="7300"/>
    <n v="8"/>
    <x v="0"/>
  </r>
  <r>
    <s v="EMP1313"/>
    <s v="Jennifer Williams"/>
    <x v="20"/>
    <x v="1"/>
    <s v="PhD"/>
    <s v="Philadelphia"/>
    <x v="2"/>
    <s v="Software Engineer"/>
    <x v="0"/>
    <x v="282"/>
    <x v="1"/>
    <n v="2"/>
    <n v="16"/>
    <x v="0"/>
    <x v="0"/>
    <x v="0"/>
    <x v="1"/>
    <n v="1"/>
    <n v="8"/>
    <n v="134713"/>
    <n v="14300"/>
    <n v="3.6"/>
    <x v="1"/>
  </r>
  <r>
    <s v="EMP1314"/>
    <s v="Charles Brown"/>
    <x v="12"/>
    <x v="2"/>
    <s v="High School"/>
    <s v="Dallas"/>
    <x v="1"/>
    <s v="Account Manager"/>
    <x v="0"/>
    <x v="283"/>
    <x v="3"/>
    <n v="3"/>
    <n v="16"/>
    <x v="3"/>
    <x v="1"/>
    <x v="1"/>
    <x v="1"/>
    <n v="14"/>
    <n v="58"/>
    <n v="68281"/>
    <n v="5300"/>
    <n v="9.6999999999999993"/>
    <x v="0"/>
  </r>
  <r>
    <s v="EMP1315"/>
    <s v="Reese Martinez"/>
    <x v="23"/>
    <x v="0"/>
    <s v="Bachelor's"/>
    <s v="Dallas"/>
    <x v="3"/>
    <s v="Operations Analyst"/>
    <x v="0"/>
    <x v="284"/>
    <x v="3"/>
    <n v="3"/>
    <n v="17"/>
    <x v="3"/>
    <x v="1"/>
    <x v="3"/>
    <x v="1"/>
    <n v="20"/>
    <n v="46"/>
    <n v="52737"/>
    <n v="4300"/>
    <n v="4.9000000000000004"/>
    <x v="0"/>
  </r>
  <r>
    <s v="EMP1316"/>
    <s v="Patricia Wilson"/>
    <x v="24"/>
    <x v="1"/>
    <s v="PhD"/>
    <s v="Philadelphia"/>
    <x v="4"/>
    <s v="Customer Success Manager"/>
    <x v="0"/>
    <x v="285"/>
    <x v="1"/>
    <n v="2"/>
    <n v="1"/>
    <x v="0"/>
    <x v="0"/>
    <x v="3"/>
    <x v="1"/>
    <n v="24"/>
    <n v="67"/>
    <n v="50521"/>
    <n v="6100"/>
    <n v="4"/>
    <x v="0"/>
  </r>
  <r>
    <s v="EMP1317"/>
    <s v="Jennifer Gonzalez"/>
    <x v="11"/>
    <x v="1"/>
    <s v="PhD"/>
    <s v="Philadelphia"/>
    <x v="2"/>
    <s v="DevOps Engineer"/>
    <x v="0"/>
    <x v="286"/>
    <x v="2"/>
    <n v="0"/>
    <n v="15"/>
    <x v="1"/>
    <x v="0"/>
    <x v="2"/>
    <x v="0"/>
    <n v="1"/>
    <n v="50"/>
    <n v="117418"/>
    <n v="3400"/>
    <n v="12.2"/>
    <x v="0"/>
  </r>
  <r>
    <s v="EMP1318"/>
    <s v="Lisa Williams"/>
    <x v="4"/>
    <x v="1"/>
    <s v="Bachelor's"/>
    <s v="Dallas"/>
    <x v="6"/>
    <s v="HR Executive"/>
    <x v="0"/>
    <x v="222"/>
    <x v="3"/>
    <n v="3"/>
    <n v="17"/>
    <x v="3"/>
    <x v="0"/>
    <x v="2"/>
    <x v="1"/>
    <n v="14"/>
    <n v="26"/>
    <n v="76281"/>
    <n v="5800"/>
    <n v="6.8"/>
    <x v="0"/>
  </r>
  <r>
    <s v="EMP1319"/>
    <s v="Sandra Gonzalez"/>
    <x v="18"/>
    <x v="1"/>
    <s v="Master's"/>
    <s v="Los Angeles"/>
    <x v="1"/>
    <s v="Business Development Rep"/>
    <x v="0"/>
    <x v="287"/>
    <x v="2"/>
    <n v="0"/>
    <n v="3"/>
    <x v="3"/>
    <x v="3"/>
    <x v="0"/>
    <x v="0"/>
    <n v="10"/>
    <n v="20"/>
    <n v="70558"/>
    <n v="5400"/>
    <n v="4.5"/>
    <x v="0"/>
  </r>
  <r>
    <s v="EMP1320"/>
    <s v="Matthew Rodriguez"/>
    <x v="7"/>
    <x v="2"/>
    <s v="High School"/>
    <s v="Los Angeles"/>
    <x v="4"/>
    <s v="Support Executive"/>
    <x v="0"/>
    <x v="288"/>
    <x v="0"/>
    <n v="1"/>
    <n v="10"/>
    <x v="3"/>
    <x v="2"/>
    <x v="1"/>
    <x v="0"/>
    <n v="14"/>
    <n v="43"/>
    <n v="38618"/>
    <n v="3100"/>
    <n v="6.1"/>
    <x v="0"/>
  </r>
  <r>
    <s v="EMP1321"/>
    <s v="Karen Martinez"/>
    <x v="0"/>
    <x v="1"/>
    <s v="Master's"/>
    <s v="San Diego"/>
    <x v="4"/>
    <s v="Support Lead"/>
    <x v="0"/>
    <x v="289"/>
    <x v="1"/>
    <n v="2"/>
    <n v="10"/>
    <x v="3"/>
    <x v="4"/>
    <x v="2"/>
    <x v="1"/>
    <n v="2"/>
    <n v="11"/>
    <n v="52028"/>
    <n v="3100"/>
    <n v="9.1999999999999993"/>
    <x v="0"/>
  </r>
  <r>
    <s v="EMP1322"/>
    <s v="Robert Davis"/>
    <x v="12"/>
    <x v="2"/>
    <s v="Bachelor's"/>
    <s v="San Diego"/>
    <x v="7"/>
    <s v="IT Analyst"/>
    <x v="0"/>
    <x v="290"/>
    <x v="1"/>
    <n v="2"/>
    <n v="12"/>
    <x v="0"/>
    <x v="4"/>
    <x v="2"/>
    <x v="1"/>
    <n v="5"/>
    <n v="18"/>
    <n v="91632"/>
    <n v="10500"/>
    <n v="6.2"/>
    <x v="0"/>
  </r>
  <r>
    <s v="EMP1323"/>
    <s v="Joseph Williams"/>
    <x v="25"/>
    <x v="2"/>
    <s v="Bachelor's"/>
    <s v="San Jose"/>
    <x v="3"/>
    <s v="Operations Manager"/>
    <x v="0"/>
    <x v="291"/>
    <x v="3"/>
    <n v="3"/>
    <n v="15"/>
    <x v="1"/>
    <x v="2"/>
    <x v="3"/>
    <x v="0"/>
    <n v="3"/>
    <n v="47"/>
    <n v="55278"/>
    <n v="1600"/>
    <n v="14.4"/>
    <x v="0"/>
  </r>
  <r>
    <s v="EMP1324"/>
    <s v="Casey Jones"/>
    <x v="15"/>
    <x v="0"/>
    <s v="PhD"/>
    <s v="San Diego"/>
    <x v="4"/>
    <s v="Customer Success Manager"/>
    <x v="0"/>
    <x v="292"/>
    <x v="2"/>
    <n v="0"/>
    <n v="5"/>
    <x v="2"/>
    <x v="2"/>
    <x v="4"/>
    <x v="1"/>
    <n v="2"/>
    <n v="5"/>
    <n v="48820"/>
    <n v="11300"/>
    <n v="13.7"/>
    <x v="0"/>
  </r>
  <r>
    <s v="EMP1325"/>
    <s v="William Martinez"/>
    <x v="12"/>
    <x v="2"/>
    <s v="PhD"/>
    <s v="Chicago"/>
    <x v="1"/>
    <s v="Business Development Rep"/>
    <x v="2"/>
    <x v="293"/>
    <x v="2"/>
    <n v="0"/>
    <n v="13"/>
    <x v="2"/>
    <x v="3"/>
    <x v="1"/>
    <x v="1"/>
    <n v="19"/>
    <n v="79"/>
    <n v="84695"/>
    <n v="14500"/>
    <n v="10.6"/>
    <x v="0"/>
  </r>
  <r>
    <s v="EMP1326"/>
    <s v="Mark Miller"/>
    <x v="5"/>
    <x v="2"/>
    <s v="Master's"/>
    <s v="Los Angeles"/>
    <x v="3"/>
    <s v="Logistics Coordinator"/>
    <x v="0"/>
    <x v="133"/>
    <x v="0"/>
    <n v="1"/>
    <n v="15"/>
    <x v="3"/>
    <x v="1"/>
    <x v="3"/>
    <x v="1"/>
    <n v="19"/>
    <n v="69"/>
    <n v="55853"/>
    <n v="4000"/>
    <n v="12.6"/>
    <x v="0"/>
  </r>
  <r>
    <s v="EMP1327"/>
    <s v="Sarah Brown"/>
    <x v="0"/>
    <x v="1"/>
    <s v="Bachelor's"/>
    <s v="Los Angeles"/>
    <x v="2"/>
    <s v="Software Engineer"/>
    <x v="2"/>
    <x v="294"/>
    <x v="2"/>
    <n v="0"/>
    <n v="4"/>
    <x v="0"/>
    <x v="2"/>
    <x v="4"/>
    <x v="1"/>
    <n v="12"/>
    <n v="75"/>
    <n v="72486"/>
    <n v="7700"/>
    <n v="13"/>
    <x v="0"/>
  </r>
  <r>
    <s v="EMP1328"/>
    <s v="Mark Smith"/>
    <x v="6"/>
    <x v="2"/>
    <s v="Diploma"/>
    <s v="Chicago"/>
    <x v="7"/>
    <s v="IT Analyst"/>
    <x v="0"/>
    <x v="242"/>
    <x v="0"/>
    <n v="1"/>
    <n v="14"/>
    <x v="0"/>
    <x v="1"/>
    <x v="3"/>
    <x v="0"/>
    <n v="9"/>
    <n v="52"/>
    <n v="75799"/>
    <n v="7600"/>
    <n v="14.8"/>
    <x v="0"/>
  </r>
  <r>
    <s v="EMP1329"/>
    <s v="David Williams"/>
    <x v="7"/>
    <x v="2"/>
    <s v="Bachelor's"/>
    <s v="Houston"/>
    <x v="3"/>
    <s v="Operations Manager"/>
    <x v="0"/>
    <x v="186"/>
    <x v="3"/>
    <n v="3"/>
    <n v="10"/>
    <x v="0"/>
    <x v="2"/>
    <x v="0"/>
    <x v="0"/>
    <n v="7"/>
    <n v="63"/>
    <n v="54336"/>
    <n v="6100"/>
    <n v="7.5"/>
    <x v="0"/>
  </r>
  <r>
    <s v="EMP1330"/>
    <s v="Barbara Smith"/>
    <x v="10"/>
    <x v="1"/>
    <s v="Master's"/>
    <s v="Los Angeles"/>
    <x v="4"/>
    <s v="Support Analyst"/>
    <x v="0"/>
    <x v="295"/>
    <x v="0"/>
    <n v="1"/>
    <n v="14"/>
    <x v="0"/>
    <x v="2"/>
    <x v="3"/>
    <x v="1"/>
    <n v="9"/>
    <n v="72"/>
    <n v="48352"/>
    <n v="6800"/>
    <n v="3.2"/>
    <x v="0"/>
  </r>
  <r>
    <s v="EMP1331"/>
    <s v="Anthony Hernandez"/>
    <x v="12"/>
    <x v="2"/>
    <s v="PhD"/>
    <s v="San Jose"/>
    <x v="3"/>
    <s v="Logistics Coordinator"/>
    <x v="0"/>
    <x v="296"/>
    <x v="1"/>
    <n v="2"/>
    <n v="18"/>
    <x v="1"/>
    <x v="0"/>
    <x v="1"/>
    <x v="1"/>
    <n v="1"/>
    <n v="61"/>
    <n v="80227"/>
    <n v="2900"/>
    <n v="9.6999999999999993"/>
    <x v="1"/>
  </r>
  <r>
    <s v="EMP1332"/>
    <s v="Margaret Hernandez"/>
    <x v="10"/>
    <x v="1"/>
    <s v="Bachelor's"/>
    <s v="Chicago"/>
    <x v="2"/>
    <s v="Tech Lead"/>
    <x v="0"/>
    <x v="4"/>
    <x v="2"/>
    <n v="0"/>
    <n v="7"/>
    <x v="3"/>
    <x v="3"/>
    <x v="2"/>
    <x v="0"/>
    <n v="6"/>
    <n v="78"/>
    <n v="91157"/>
    <n v="6500"/>
    <n v="6.6"/>
    <x v="0"/>
  </r>
  <r>
    <s v="EMP1333"/>
    <s v="Elizabeth Hernandez"/>
    <x v="0"/>
    <x v="1"/>
    <s v="Master's"/>
    <s v="New York"/>
    <x v="3"/>
    <s v="Supply Chain Analyst"/>
    <x v="0"/>
    <x v="157"/>
    <x v="0"/>
    <n v="1"/>
    <n v="9"/>
    <x v="0"/>
    <x v="1"/>
    <x v="1"/>
    <x v="1"/>
    <n v="21"/>
    <n v="22"/>
    <n v="66078"/>
    <n v="7800"/>
    <n v="10.199999999999999"/>
    <x v="1"/>
  </r>
  <r>
    <s v="EMP1334"/>
    <s v="Nancy Lopez"/>
    <x v="24"/>
    <x v="1"/>
    <s v="Master's"/>
    <s v="San Antonio"/>
    <x v="1"/>
    <s v="Business Development Rep"/>
    <x v="0"/>
    <x v="297"/>
    <x v="2"/>
    <n v="0"/>
    <n v="3"/>
    <x v="0"/>
    <x v="1"/>
    <x v="1"/>
    <x v="1"/>
    <n v="14"/>
    <n v="47"/>
    <n v="89014"/>
    <n v="9100"/>
    <n v="14.7"/>
    <x v="0"/>
  </r>
  <r>
    <s v="EMP1335"/>
    <s v="Michael Lopez"/>
    <x v="10"/>
    <x v="2"/>
    <s v="Bachelor's"/>
    <s v="New York"/>
    <x v="4"/>
    <s v="Support Lead"/>
    <x v="0"/>
    <x v="298"/>
    <x v="3"/>
    <n v="3"/>
    <n v="12"/>
    <x v="0"/>
    <x v="2"/>
    <x v="3"/>
    <x v="1"/>
    <n v="0"/>
    <n v="25"/>
    <n v="55101"/>
    <n v="7400"/>
    <n v="5.7"/>
    <x v="0"/>
  </r>
  <r>
    <s v="EMP1336"/>
    <s v="William Martinez"/>
    <x v="8"/>
    <x v="2"/>
    <s v="Bachelor's"/>
    <s v="Phoenix"/>
    <x v="4"/>
    <s v="Support Analyst"/>
    <x v="0"/>
    <x v="299"/>
    <x v="2"/>
    <n v="0"/>
    <n v="7"/>
    <x v="3"/>
    <x v="1"/>
    <x v="0"/>
    <x v="1"/>
    <n v="19"/>
    <n v="32"/>
    <n v="39202"/>
    <n v="2300"/>
    <n v="14.2"/>
    <x v="0"/>
  </r>
  <r>
    <s v="EMP1337"/>
    <s v="Richard Hernandez"/>
    <x v="23"/>
    <x v="2"/>
    <s v="Bachelor's"/>
    <s v="Phoenix"/>
    <x v="2"/>
    <s v="DevOps Engineer"/>
    <x v="1"/>
    <x v="25"/>
    <x v="3"/>
    <n v="3"/>
    <n v="14"/>
    <x v="0"/>
    <x v="2"/>
    <x v="2"/>
    <x v="0"/>
    <n v="10"/>
    <n v="0"/>
    <n v="137933"/>
    <n v="15600"/>
    <n v="12.1"/>
    <x v="0"/>
  </r>
  <r>
    <s v="EMP1338"/>
    <s v="John Anderson"/>
    <x v="10"/>
    <x v="2"/>
    <s v="Diploma"/>
    <s v="New York"/>
    <x v="3"/>
    <s v="Logistics Coordinator"/>
    <x v="0"/>
    <x v="300"/>
    <x v="3"/>
    <n v="3"/>
    <n v="14"/>
    <x v="2"/>
    <x v="3"/>
    <x v="4"/>
    <x v="1"/>
    <n v="7"/>
    <n v="13"/>
    <n v="57902"/>
    <n v="10700"/>
    <n v="10.5"/>
    <x v="1"/>
  </r>
  <r>
    <s v="EMP1339"/>
    <s v="David Wilson"/>
    <x v="8"/>
    <x v="2"/>
    <s v="PhD"/>
    <s v="New York"/>
    <x v="5"/>
    <s v="SEO Specialist"/>
    <x v="0"/>
    <x v="301"/>
    <x v="3"/>
    <n v="3"/>
    <n v="8"/>
    <x v="0"/>
    <x v="1"/>
    <x v="3"/>
    <x v="1"/>
    <n v="1"/>
    <n v="56"/>
    <n v="85603"/>
    <n v="8600"/>
    <n v="8.4"/>
    <x v="0"/>
  </r>
  <r>
    <s v="EMP1340"/>
    <s v="Christopher Miller"/>
    <x v="2"/>
    <x v="2"/>
    <s v="Bachelor's"/>
    <s v="San Jose"/>
    <x v="2"/>
    <s v="Software Engineer"/>
    <x v="0"/>
    <x v="252"/>
    <x v="3"/>
    <n v="3"/>
    <n v="2"/>
    <x v="0"/>
    <x v="4"/>
    <x v="2"/>
    <x v="1"/>
    <n v="13"/>
    <n v="79"/>
    <n v="119998"/>
    <n v="15100"/>
    <n v="7.9"/>
    <x v="0"/>
  </r>
  <r>
    <s v="EMP1341"/>
    <s v="Christopher Gonzalez"/>
    <x v="6"/>
    <x v="2"/>
    <s v="Bachelor's"/>
    <s v="Dallas"/>
    <x v="3"/>
    <s v="Operations Analyst"/>
    <x v="0"/>
    <x v="302"/>
    <x v="3"/>
    <n v="3"/>
    <n v="11"/>
    <x v="0"/>
    <x v="4"/>
    <x v="2"/>
    <x v="1"/>
    <n v="23"/>
    <n v="79"/>
    <n v="45805"/>
    <n v="4500"/>
    <n v="12.5"/>
    <x v="0"/>
  </r>
  <r>
    <s v="EMP1342"/>
    <s v="Robert Gonzalez"/>
    <x v="7"/>
    <x v="2"/>
    <s v="Master's"/>
    <s v="Philadelphia"/>
    <x v="2"/>
    <s v="DevOps Engineer"/>
    <x v="0"/>
    <x v="303"/>
    <x v="3"/>
    <n v="3"/>
    <n v="10"/>
    <x v="0"/>
    <x v="1"/>
    <x v="0"/>
    <x v="1"/>
    <n v="18"/>
    <n v="18"/>
    <n v="116890"/>
    <n v="16200"/>
    <n v="12.3"/>
    <x v="0"/>
  </r>
  <r>
    <s v="EMP1343"/>
    <s v="Anthony Wilson"/>
    <x v="2"/>
    <x v="2"/>
    <s v="Master's"/>
    <s v="San Jose"/>
    <x v="1"/>
    <s v="Sales Executive"/>
    <x v="0"/>
    <x v="304"/>
    <x v="3"/>
    <n v="3"/>
    <n v="7"/>
    <x v="3"/>
    <x v="2"/>
    <x v="0"/>
    <x v="1"/>
    <n v="10"/>
    <n v="78"/>
    <n v="58189"/>
    <n v="3800"/>
    <n v="11"/>
    <x v="0"/>
  </r>
  <r>
    <s v="EMP1344"/>
    <s v="Robert Johnson"/>
    <x v="21"/>
    <x v="2"/>
    <s v="Master's"/>
    <s v="Philadelphia"/>
    <x v="1"/>
    <s v="Account Manager"/>
    <x v="2"/>
    <x v="305"/>
    <x v="2"/>
    <n v="0"/>
    <n v="8"/>
    <x v="0"/>
    <x v="4"/>
    <x v="3"/>
    <x v="1"/>
    <n v="12"/>
    <n v="23"/>
    <n v="90430"/>
    <n v="11400"/>
    <n v="5.9"/>
    <x v="0"/>
  </r>
  <r>
    <s v="EMP1345"/>
    <s v="John Garcia"/>
    <x v="8"/>
    <x v="2"/>
    <s v="Bachelor's"/>
    <s v="Chicago"/>
    <x v="2"/>
    <s v="Software Engineer"/>
    <x v="0"/>
    <x v="306"/>
    <x v="3"/>
    <n v="3"/>
    <n v="5"/>
    <x v="2"/>
    <x v="2"/>
    <x v="3"/>
    <x v="1"/>
    <n v="5"/>
    <n v="25"/>
    <n v="117174"/>
    <n v="19000"/>
    <n v="5.4"/>
    <x v="0"/>
  </r>
  <r>
    <s v="EMP1346"/>
    <s v="William Anderson"/>
    <x v="14"/>
    <x v="2"/>
    <s v="Master's"/>
    <s v="Chicago"/>
    <x v="4"/>
    <s v="Support Executive"/>
    <x v="1"/>
    <x v="307"/>
    <x v="3"/>
    <n v="3"/>
    <n v="5"/>
    <x v="2"/>
    <x v="2"/>
    <x v="2"/>
    <x v="1"/>
    <n v="22"/>
    <n v="8"/>
    <n v="64000"/>
    <n v="15000"/>
    <n v="6.7"/>
    <x v="0"/>
  </r>
  <r>
    <s v="EMP1347"/>
    <s v="Mark Williams"/>
    <x v="23"/>
    <x v="2"/>
    <s v="Bachelor's"/>
    <s v="Chicago"/>
    <x v="7"/>
    <s v="IT Analyst"/>
    <x v="0"/>
    <x v="308"/>
    <x v="1"/>
    <n v="2"/>
    <n v="13"/>
    <x v="1"/>
    <x v="1"/>
    <x v="4"/>
    <x v="1"/>
    <n v="4"/>
    <n v="65"/>
    <n v="83150"/>
    <n v="2200"/>
    <n v="3.6"/>
    <x v="0"/>
  </r>
  <r>
    <s v="EMP1348"/>
    <s v="John Gonzalez"/>
    <x v="1"/>
    <x v="2"/>
    <s v="Master's"/>
    <s v="San Diego"/>
    <x v="2"/>
    <s v="DevOps Engineer"/>
    <x v="0"/>
    <x v="309"/>
    <x v="2"/>
    <n v="0"/>
    <n v="3"/>
    <x v="0"/>
    <x v="4"/>
    <x v="2"/>
    <x v="1"/>
    <n v="8"/>
    <n v="74"/>
    <n v="136736"/>
    <n v="16500"/>
    <n v="5.0999999999999996"/>
    <x v="0"/>
  </r>
  <r>
    <s v="EMP1349"/>
    <s v="Betty Martinez"/>
    <x v="6"/>
    <x v="1"/>
    <s v="Diploma"/>
    <s v="Phoenix"/>
    <x v="0"/>
    <s v="Controller"/>
    <x v="0"/>
    <x v="310"/>
    <x v="3"/>
    <n v="3"/>
    <n v="7"/>
    <x v="0"/>
    <x v="0"/>
    <x v="1"/>
    <x v="1"/>
    <n v="9"/>
    <n v="56"/>
    <n v="80945"/>
    <n v="9400"/>
    <n v="7.5"/>
    <x v="0"/>
  </r>
  <r>
    <s v="EMP1350"/>
    <s v="James Davis"/>
    <x v="4"/>
    <x v="2"/>
    <s v="Bachelor's"/>
    <s v="Philadelphia"/>
    <x v="2"/>
    <s v="Tech Lead"/>
    <x v="1"/>
    <x v="311"/>
    <x v="0"/>
    <n v="1"/>
    <n v="15"/>
    <x v="0"/>
    <x v="3"/>
    <x v="0"/>
    <x v="1"/>
    <n v="16"/>
    <n v="69"/>
    <n v="135213"/>
    <n v="15500"/>
    <n v="5.2"/>
    <x v="0"/>
  </r>
  <r>
    <s v="EMP1351"/>
    <s v="Sandra Brown"/>
    <x v="0"/>
    <x v="1"/>
    <s v="Master's"/>
    <s v="Phoenix"/>
    <x v="7"/>
    <s v="IT Analyst"/>
    <x v="0"/>
    <x v="312"/>
    <x v="3"/>
    <n v="3"/>
    <n v="12"/>
    <x v="2"/>
    <x v="2"/>
    <x v="3"/>
    <x v="1"/>
    <n v="24"/>
    <n v="69"/>
    <n v="76873"/>
    <n v="14300"/>
    <n v="6.6"/>
    <x v="0"/>
  </r>
  <r>
    <s v="EMP1352"/>
    <s v="William Jones"/>
    <x v="5"/>
    <x v="2"/>
    <s v="Master's"/>
    <s v="Houston"/>
    <x v="5"/>
    <s v="Content Strategist"/>
    <x v="0"/>
    <x v="313"/>
    <x v="0"/>
    <n v="1"/>
    <n v="19"/>
    <x v="1"/>
    <x v="2"/>
    <x v="0"/>
    <x v="1"/>
    <n v="17"/>
    <n v="59"/>
    <n v="78596"/>
    <n v="2800"/>
    <n v="13.4"/>
    <x v="1"/>
  </r>
  <r>
    <s v="EMP1353"/>
    <s v="John Garcia"/>
    <x v="20"/>
    <x v="2"/>
    <s v="Bachelor's"/>
    <s v="San Diego"/>
    <x v="7"/>
    <s v="Systems Administrator"/>
    <x v="2"/>
    <x v="191"/>
    <x v="1"/>
    <n v="2"/>
    <n v="14"/>
    <x v="2"/>
    <x v="3"/>
    <x v="4"/>
    <x v="1"/>
    <n v="7"/>
    <n v="53"/>
    <n v="91598"/>
    <n v="15700"/>
    <n v="13.5"/>
    <x v="0"/>
  </r>
  <r>
    <s v="EMP1354"/>
    <s v="Susan Gonzalez"/>
    <x v="27"/>
    <x v="1"/>
    <s v="Diploma"/>
    <s v="San Antonio"/>
    <x v="1"/>
    <s v="Business Development Rep"/>
    <x v="1"/>
    <x v="276"/>
    <x v="0"/>
    <n v="1"/>
    <n v="1"/>
    <x v="1"/>
    <x v="0"/>
    <x v="2"/>
    <x v="1"/>
    <n v="2"/>
    <n v="68"/>
    <n v="55072"/>
    <n v="2000"/>
    <n v="9.8000000000000007"/>
    <x v="0"/>
  </r>
  <r>
    <s v="EMP1355"/>
    <s v="John Garcia"/>
    <x v="1"/>
    <x v="2"/>
    <s v="Bachelor's"/>
    <s v="San Antonio"/>
    <x v="7"/>
    <s v="Systems Administrator"/>
    <x v="0"/>
    <x v="314"/>
    <x v="2"/>
    <n v="0"/>
    <n v="3"/>
    <x v="2"/>
    <x v="0"/>
    <x v="4"/>
    <x v="0"/>
    <n v="21"/>
    <n v="67"/>
    <n v="91235"/>
    <n v="20600"/>
    <n v="10.199999999999999"/>
    <x v="1"/>
  </r>
  <r>
    <s v="EMP1356"/>
    <s v="David Rodriguez"/>
    <x v="12"/>
    <x v="2"/>
    <s v="Bachelor's"/>
    <s v="Houston"/>
    <x v="1"/>
    <s v="Sales Executive"/>
    <x v="0"/>
    <x v="243"/>
    <x v="3"/>
    <n v="3"/>
    <n v="14"/>
    <x v="2"/>
    <x v="0"/>
    <x v="4"/>
    <x v="1"/>
    <n v="13"/>
    <n v="60"/>
    <n v="52257"/>
    <n v="10100"/>
    <n v="11.9"/>
    <x v="0"/>
  </r>
  <r>
    <s v="EMP1357"/>
    <s v="Barbara Martinez"/>
    <x v="5"/>
    <x v="1"/>
    <s v="Bachelor's"/>
    <s v="San Jose"/>
    <x v="7"/>
    <s v="Network Engineer"/>
    <x v="2"/>
    <x v="315"/>
    <x v="1"/>
    <n v="2"/>
    <n v="15"/>
    <x v="0"/>
    <x v="4"/>
    <x v="2"/>
    <x v="1"/>
    <n v="18"/>
    <n v="5"/>
    <n v="64351"/>
    <n v="8700"/>
    <n v="10.3"/>
    <x v="0"/>
  </r>
  <r>
    <s v="EMP1358"/>
    <s v="Mark Anderson"/>
    <x v="7"/>
    <x v="2"/>
    <s v="Master's"/>
    <s v="Chicago"/>
    <x v="2"/>
    <s v="Software Engineer"/>
    <x v="0"/>
    <x v="316"/>
    <x v="2"/>
    <n v="0"/>
    <n v="10"/>
    <x v="0"/>
    <x v="1"/>
    <x v="2"/>
    <x v="1"/>
    <n v="22"/>
    <n v="5"/>
    <n v="92954"/>
    <n v="9700"/>
    <n v="10.4"/>
    <x v="0"/>
  </r>
  <r>
    <s v="EMP1359"/>
    <s v="Jennifer Jones"/>
    <x v="6"/>
    <x v="1"/>
    <s v="Bachelor's"/>
    <s v="Philadelphia"/>
    <x v="1"/>
    <s v="Sales Manager"/>
    <x v="0"/>
    <x v="317"/>
    <x v="0"/>
    <n v="1"/>
    <n v="7"/>
    <x v="0"/>
    <x v="0"/>
    <x v="4"/>
    <x v="1"/>
    <n v="6"/>
    <n v="64"/>
    <n v="94929"/>
    <n v="13600"/>
    <n v="3.9"/>
    <x v="0"/>
  </r>
  <r>
    <s v="EMP1360"/>
    <s v="John Hernandez"/>
    <x v="7"/>
    <x v="2"/>
    <s v="Bachelor's"/>
    <s v="San Diego"/>
    <x v="2"/>
    <s v="Software Engineer"/>
    <x v="0"/>
    <x v="318"/>
    <x v="2"/>
    <n v="0"/>
    <n v="13"/>
    <x v="0"/>
    <x v="2"/>
    <x v="3"/>
    <x v="1"/>
    <n v="22"/>
    <n v="56"/>
    <n v="71407"/>
    <n v="9300"/>
    <n v="4.5999999999999996"/>
    <x v="0"/>
  </r>
  <r>
    <s v="EMP1361"/>
    <s v="William Wilson"/>
    <x v="26"/>
    <x v="2"/>
    <s v="Bachelor's"/>
    <s v="Chicago"/>
    <x v="0"/>
    <s v="Finance Manager"/>
    <x v="0"/>
    <x v="319"/>
    <x v="1"/>
    <n v="2"/>
    <n v="1"/>
    <x v="0"/>
    <x v="0"/>
    <x v="3"/>
    <x v="1"/>
    <n v="22"/>
    <n v="4"/>
    <n v="63136"/>
    <n v="7200"/>
    <n v="3.9"/>
    <x v="0"/>
  </r>
  <r>
    <s v="EMP1362"/>
    <s v="James Wilson"/>
    <x v="20"/>
    <x v="2"/>
    <s v="Bachelor's"/>
    <s v="Houston"/>
    <x v="2"/>
    <s v="Senior Engineer"/>
    <x v="0"/>
    <x v="320"/>
    <x v="3"/>
    <n v="3"/>
    <n v="10"/>
    <x v="2"/>
    <x v="4"/>
    <x v="1"/>
    <x v="1"/>
    <n v="0"/>
    <n v="43"/>
    <n v="70611"/>
    <n v="13400"/>
    <n v="5.4"/>
    <x v="0"/>
  </r>
  <r>
    <s v="EMP1363"/>
    <s v="Patricia Brown"/>
    <x v="16"/>
    <x v="1"/>
    <s v="Bachelor's"/>
    <s v="San Antonio"/>
    <x v="6"/>
    <s v="HR Manager"/>
    <x v="1"/>
    <x v="321"/>
    <x v="3"/>
    <n v="3"/>
    <n v="6"/>
    <x v="3"/>
    <x v="1"/>
    <x v="3"/>
    <x v="1"/>
    <n v="6"/>
    <n v="13"/>
    <n v="47057"/>
    <n v="3100"/>
    <n v="10.5"/>
    <x v="0"/>
  </r>
  <r>
    <s v="EMP1364"/>
    <s v="James Miller"/>
    <x v="6"/>
    <x v="2"/>
    <s v="Bachelor's"/>
    <s v="Phoenix"/>
    <x v="5"/>
    <s v="Content Strategist"/>
    <x v="0"/>
    <x v="0"/>
    <x v="0"/>
    <n v="1"/>
    <n v="7"/>
    <x v="3"/>
    <x v="4"/>
    <x v="1"/>
    <x v="0"/>
    <n v="22"/>
    <n v="68"/>
    <n v="88120"/>
    <n v="6500"/>
    <n v="7.4"/>
    <x v="1"/>
  </r>
  <r>
    <s v="EMP1365"/>
    <s v="John Martinez"/>
    <x v="10"/>
    <x v="2"/>
    <s v="Bachelor's"/>
    <s v="San Diego"/>
    <x v="2"/>
    <s v="Senior Engineer"/>
    <x v="0"/>
    <x v="322"/>
    <x v="0"/>
    <n v="1"/>
    <n v="13"/>
    <x v="1"/>
    <x v="0"/>
    <x v="0"/>
    <x v="1"/>
    <n v="18"/>
    <n v="1"/>
    <n v="111676"/>
    <n v="3600"/>
    <n v="3.8"/>
    <x v="1"/>
  </r>
  <r>
    <s v="EMP1366"/>
    <s v="Matthew Anderson"/>
    <x v="20"/>
    <x v="2"/>
    <s v="Master's"/>
    <s v="Houston"/>
    <x v="6"/>
    <s v="HR Manager"/>
    <x v="1"/>
    <x v="323"/>
    <x v="3"/>
    <n v="3"/>
    <n v="14"/>
    <x v="2"/>
    <x v="2"/>
    <x v="2"/>
    <x v="1"/>
    <n v="23"/>
    <n v="42"/>
    <n v="43927"/>
    <n v="8800"/>
    <n v="5.4"/>
    <x v="0"/>
  </r>
  <r>
    <s v="EMP1367"/>
    <s v="Christopher Gonzalez"/>
    <x v="23"/>
    <x v="2"/>
    <s v="PhD"/>
    <s v="Houston"/>
    <x v="2"/>
    <s v="Senior Engineer"/>
    <x v="2"/>
    <x v="324"/>
    <x v="3"/>
    <n v="3"/>
    <n v="14"/>
    <x v="3"/>
    <x v="0"/>
    <x v="0"/>
    <x v="1"/>
    <n v="12"/>
    <n v="66"/>
    <n v="100016"/>
    <n v="6500"/>
    <n v="5.9"/>
    <x v="0"/>
  </r>
  <r>
    <s v="EMP1368"/>
    <s v="Christopher Smith"/>
    <x v="15"/>
    <x v="2"/>
    <s v="Master's"/>
    <s v="Dallas"/>
    <x v="0"/>
    <s v="Accountant"/>
    <x v="0"/>
    <x v="325"/>
    <x v="3"/>
    <n v="3"/>
    <n v="7"/>
    <x v="1"/>
    <x v="4"/>
    <x v="4"/>
    <x v="0"/>
    <n v="5"/>
    <n v="25"/>
    <n v="64275"/>
    <n v="1600"/>
    <n v="5.0999999999999996"/>
    <x v="0"/>
  </r>
  <r>
    <s v="EMP1369"/>
    <s v="Charles Brown"/>
    <x v="23"/>
    <x v="2"/>
    <s v="Bachelor's"/>
    <s v="Dallas"/>
    <x v="1"/>
    <s v="Sales Manager"/>
    <x v="0"/>
    <x v="326"/>
    <x v="0"/>
    <n v="1"/>
    <n v="15"/>
    <x v="2"/>
    <x v="4"/>
    <x v="3"/>
    <x v="1"/>
    <n v="15"/>
    <n v="2"/>
    <n v="76534"/>
    <n v="18200"/>
    <n v="7.8"/>
    <x v="0"/>
  </r>
  <r>
    <s v="EMP1370"/>
    <s v="John Gonzalez"/>
    <x v="3"/>
    <x v="2"/>
    <s v="Master's"/>
    <s v="Philadelphia"/>
    <x v="4"/>
    <s v="Support Analyst"/>
    <x v="0"/>
    <x v="327"/>
    <x v="0"/>
    <n v="1"/>
    <n v="5"/>
    <x v="0"/>
    <x v="4"/>
    <x v="3"/>
    <x v="1"/>
    <n v="4"/>
    <n v="24"/>
    <n v="43430"/>
    <n v="4800"/>
    <n v="6.4"/>
    <x v="0"/>
  </r>
  <r>
    <s v="EMP1371"/>
    <s v="Thomas Lopez"/>
    <x v="12"/>
    <x v="2"/>
    <s v="High School"/>
    <s v="Los Angeles"/>
    <x v="5"/>
    <s v="Marketing Analyst"/>
    <x v="0"/>
    <x v="328"/>
    <x v="0"/>
    <n v="1"/>
    <n v="14"/>
    <x v="0"/>
    <x v="2"/>
    <x v="3"/>
    <x v="1"/>
    <n v="6"/>
    <n v="55"/>
    <n v="69454"/>
    <n v="7700"/>
    <n v="14.9"/>
    <x v="1"/>
  </r>
  <r>
    <s v="EMP1372"/>
    <s v="Betty Lopez"/>
    <x v="4"/>
    <x v="1"/>
    <s v="Master's"/>
    <s v="Philadelphia"/>
    <x v="0"/>
    <s v="Accountant"/>
    <x v="0"/>
    <x v="183"/>
    <x v="0"/>
    <n v="1"/>
    <n v="16"/>
    <x v="0"/>
    <x v="1"/>
    <x v="3"/>
    <x v="1"/>
    <n v="8"/>
    <n v="77"/>
    <n v="97657"/>
    <n v="11400"/>
    <n v="6"/>
    <x v="0"/>
  </r>
  <r>
    <s v="EMP1373"/>
    <s v="Jennifer Jones"/>
    <x v="16"/>
    <x v="1"/>
    <s v="Bachelor's"/>
    <s v="Dallas"/>
    <x v="3"/>
    <s v="Logistics Coordinator"/>
    <x v="1"/>
    <x v="329"/>
    <x v="1"/>
    <n v="2"/>
    <n v="6"/>
    <x v="0"/>
    <x v="4"/>
    <x v="3"/>
    <x v="1"/>
    <n v="13"/>
    <n v="32"/>
    <n v="51049"/>
    <n v="7100"/>
    <n v="7.8"/>
    <x v="0"/>
  </r>
  <r>
    <s v="EMP1374"/>
    <s v="Thomas Hernandez"/>
    <x v="10"/>
    <x v="2"/>
    <s v="Bachelor's"/>
    <s v="San Antonio"/>
    <x v="0"/>
    <s v="Accountant"/>
    <x v="0"/>
    <x v="330"/>
    <x v="2"/>
    <n v="0"/>
    <n v="14"/>
    <x v="3"/>
    <x v="1"/>
    <x v="3"/>
    <x v="1"/>
    <n v="15"/>
    <n v="0"/>
    <n v="92526"/>
    <n v="6100"/>
    <n v="4.7"/>
    <x v="0"/>
  </r>
  <r>
    <s v="EMP1375"/>
    <s v="Daniel Miller"/>
    <x v="7"/>
    <x v="2"/>
    <s v="Bachelor's"/>
    <s v="Houston"/>
    <x v="2"/>
    <s v="Software Engineer"/>
    <x v="0"/>
    <x v="314"/>
    <x v="2"/>
    <n v="0"/>
    <n v="14"/>
    <x v="3"/>
    <x v="1"/>
    <x v="3"/>
    <x v="1"/>
    <n v="24"/>
    <n v="24"/>
    <n v="94431"/>
    <n v="5800"/>
    <n v="5.2"/>
    <x v="0"/>
  </r>
  <r>
    <s v="EMP1376"/>
    <s v="Jamie Davis"/>
    <x v="15"/>
    <x v="0"/>
    <s v="Bachelor's"/>
    <s v="Los Angeles"/>
    <x v="1"/>
    <s v="Account Manager"/>
    <x v="0"/>
    <x v="321"/>
    <x v="3"/>
    <n v="3"/>
    <n v="3"/>
    <x v="0"/>
    <x v="3"/>
    <x v="1"/>
    <x v="1"/>
    <n v="21"/>
    <n v="74"/>
    <n v="53171"/>
    <n v="6000"/>
    <n v="10"/>
    <x v="0"/>
  </r>
  <r>
    <s v="EMP1377"/>
    <s v="Thomas Gonzalez"/>
    <x v="4"/>
    <x v="2"/>
    <s v="Diploma"/>
    <s v="Philadelphia"/>
    <x v="0"/>
    <s v="Financial Analyst"/>
    <x v="2"/>
    <x v="331"/>
    <x v="3"/>
    <n v="3"/>
    <n v="17"/>
    <x v="3"/>
    <x v="3"/>
    <x v="2"/>
    <x v="1"/>
    <n v="12"/>
    <n v="78"/>
    <n v="86013"/>
    <n v="6300"/>
    <n v="7"/>
    <x v="0"/>
  </r>
  <r>
    <s v="EMP1378"/>
    <s v="Riley Gonzalez"/>
    <x v="10"/>
    <x v="0"/>
    <s v="Bachelor's"/>
    <s v="San Jose"/>
    <x v="2"/>
    <s v="Software Engineer"/>
    <x v="0"/>
    <x v="332"/>
    <x v="3"/>
    <n v="3"/>
    <n v="13"/>
    <x v="3"/>
    <x v="4"/>
    <x v="0"/>
    <x v="1"/>
    <n v="13"/>
    <n v="24"/>
    <n v="86108"/>
    <n v="5500"/>
    <n v="11.4"/>
    <x v="0"/>
  </r>
  <r>
    <s v="EMP1379"/>
    <s v="Riley Smith"/>
    <x v="23"/>
    <x v="0"/>
    <s v="Bachelor's"/>
    <s v="San Diego"/>
    <x v="2"/>
    <s v="Software Engineer"/>
    <x v="1"/>
    <x v="333"/>
    <x v="0"/>
    <n v="1"/>
    <n v="11"/>
    <x v="0"/>
    <x v="1"/>
    <x v="2"/>
    <x v="1"/>
    <n v="9"/>
    <n v="77"/>
    <n v="133509"/>
    <n v="16700"/>
    <n v="4"/>
    <x v="0"/>
  </r>
  <r>
    <s v="EMP1380"/>
    <s v="Margaret Rodriguez"/>
    <x v="15"/>
    <x v="1"/>
    <s v="PhD"/>
    <s v="Houston"/>
    <x v="3"/>
    <s v="Operations Manager"/>
    <x v="0"/>
    <x v="174"/>
    <x v="3"/>
    <n v="3"/>
    <n v="3"/>
    <x v="1"/>
    <x v="1"/>
    <x v="1"/>
    <x v="1"/>
    <n v="13"/>
    <n v="3"/>
    <n v="80962"/>
    <n v="2400"/>
    <n v="13.8"/>
    <x v="0"/>
  </r>
  <r>
    <s v="EMP1381"/>
    <s v="Elizabeth Anderson"/>
    <x v="7"/>
    <x v="1"/>
    <s v="High School"/>
    <s v="Philadelphia"/>
    <x v="0"/>
    <s v="Finance Manager"/>
    <x v="2"/>
    <x v="166"/>
    <x v="2"/>
    <n v="0"/>
    <n v="9"/>
    <x v="2"/>
    <x v="2"/>
    <x v="0"/>
    <x v="0"/>
    <n v="2"/>
    <n v="43"/>
    <n v="98948"/>
    <n v="16900"/>
    <n v="9.4"/>
    <x v="0"/>
  </r>
  <r>
    <s v="EMP1382"/>
    <s v="Nancy Lopez"/>
    <x v="13"/>
    <x v="1"/>
    <s v="PhD"/>
    <s v="Houston"/>
    <x v="2"/>
    <s v="DevOps Engineer"/>
    <x v="0"/>
    <x v="334"/>
    <x v="2"/>
    <n v="0"/>
    <n v="18"/>
    <x v="0"/>
    <x v="1"/>
    <x v="0"/>
    <x v="1"/>
    <n v="11"/>
    <n v="16"/>
    <n v="99301"/>
    <n v="10900"/>
    <n v="4.3"/>
    <x v="0"/>
  </r>
  <r>
    <s v="EMP1383"/>
    <s v="Karen Lopez"/>
    <x v="17"/>
    <x v="1"/>
    <s v="Bachelor's"/>
    <s v="San Jose"/>
    <x v="2"/>
    <s v="Tech Lead"/>
    <x v="0"/>
    <x v="335"/>
    <x v="3"/>
    <n v="3"/>
    <n v="19"/>
    <x v="1"/>
    <x v="1"/>
    <x v="2"/>
    <x v="1"/>
    <n v="0"/>
    <n v="68"/>
    <n v="120875"/>
    <n v="3400"/>
    <n v="7.4"/>
    <x v="0"/>
  </r>
  <r>
    <s v="EMP1384"/>
    <s v="Anthony Jones"/>
    <x v="20"/>
    <x v="2"/>
    <s v="Master's"/>
    <s v="Dallas"/>
    <x v="2"/>
    <s v="DevOps Engineer"/>
    <x v="1"/>
    <x v="336"/>
    <x v="1"/>
    <n v="2"/>
    <n v="15"/>
    <x v="3"/>
    <x v="1"/>
    <x v="4"/>
    <x v="1"/>
    <n v="22"/>
    <n v="73"/>
    <n v="89119"/>
    <n v="7100"/>
    <n v="12.9"/>
    <x v="1"/>
  </r>
  <r>
    <s v="EMP1385"/>
    <s v="Linda Davis"/>
    <x v="15"/>
    <x v="1"/>
    <s v="Bachelor's"/>
    <s v="Chicago"/>
    <x v="2"/>
    <s v="DevOps Engineer"/>
    <x v="2"/>
    <x v="337"/>
    <x v="0"/>
    <n v="1"/>
    <n v="2"/>
    <x v="3"/>
    <x v="4"/>
    <x v="4"/>
    <x v="1"/>
    <n v="21"/>
    <n v="20"/>
    <n v="97605"/>
    <n v="8000"/>
    <n v="5.7"/>
    <x v="0"/>
  </r>
  <r>
    <s v="EMP1386"/>
    <s v="Elizabeth Miller"/>
    <x v="5"/>
    <x v="1"/>
    <s v="Bachelor's"/>
    <s v="Philadelphia"/>
    <x v="2"/>
    <s v="Software Engineer"/>
    <x v="0"/>
    <x v="338"/>
    <x v="2"/>
    <n v="0"/>
    <n v="13"/>
    <x v="0"/>
    <x v="2"/>
    <x v="1"/>
    <x v="0"/>
    <n v="22"/>
    <n v="38"/>
    <n v="107098"/>
    <n v="15000"/>
    <n v="11.4"/>
    <x v="0"/>
  </r>
  <r>
    <s v="EMP1387"/>
    <s v="Karen Williams"/>
    <x v="0"/>
    <x v="1"/>
    <s v="Bachelor's"/>
    <s v="Chicago"/>
    <x v="1"/>
    <s v="Business Development Rep"/>
    <x v="0"/>
    <x v="110"/>
    <x v="2"/>
    <n v="0"/>
    <n v="10"/>
    <x v="2"/>
    <x v="4"/>
    <x v="3"/>
    <x v="0"/>
    <n v="1"/>
    <n v="12"/>
    <n v="94045"/>
    <n v="19900"/>
    <n v="7.3"/>
    <x v="0"/>
  </r>
  <r>
    <s v="EMP1388"/>
    <s v="Taylor Smith"/>
    <x v="20"/>
    <x v="0"/>
    <s v="High School"/>
    <s v="Chicago"/>
    <x v="2"/>
    <s v="Tech Lead"/>
    <x v="0"/>
    <x v="32"/>
    <x v="3"/>
    <n v="3"/>
    <n v="11"/>
    <x v="0"/>
    <x v="4"/>
    <x v="1"/>
    <x v="1"/>
    <n v="24"/>
    <n v="59"/>
    <n v="122952"/>
    <n v="12500"/>
    <n v="7.8"/>
    <x v="0"/>
  </r>
  <r>
    <s v="EMP1389"/>
    <s v="Christopher Davis"/>
    <x v="1"/>
    <x v="2"/>
    <s v="Bachelor's"/>
    <s v="Phoenix"/>
    <x v="7"/>
    <s v="Systems Administrator"/>
    <x v="0"/>
    <x v="339"/>
    <x v="0"/>
    <n v="1"/>
    <n v="4"/>
    <x v="3"/>
    <x v="1"/>
    <x v="0"/>
    <x v="1"/>
    <n v="5"/>
    <n v="49"/>
    <n v="97035"/>
    <n v="6800"/>
    <n v="3.3"/>
    <x v="0"/>
  </r>
  <r>
    <s v="EMP1390"/>
    <s v="Jamie Jones"/>
    <x v="14"/>
    <x v="0"/>
    <s v="Bachelor's"/>
    <s v="Los Angeles"/>
    <x v="0"/>
    <s v="Controller"/>
    <x v="0"/>
    <x v="340"/>
    <x v="1"/>
    <n v="2"/>
    <n v="3"/>
    <x v="3"/>
    <x v="2"/>
    <x v="0"/>
    <x v="1"/>
    <n v="22"/>
    <n v="15"/>
    <n v="108272"/>
    <n v="7300"/>
    <n v="12.8"/>
    <x v="0"/>
  </r>
  <r>
    <s v="EMP1391"/>
    <s v="Jordan Williams"/>
    <x v="12"/>
    <x v="0"/>
    <s v="Bachelor's"/>
    <s v="Los Angeles"/>
    <x v="4"/>
    <s v="Support Lead"/>
    <x v="1"/>
    <x v="43"/>
    <x v="1"/>
    <n v="2"/>
    <n v="15"/>
    <x v="0"/>
    <x v="2"/>
    <x v="4"/>
    <x v="1"/>
    <n v="11"/>
    <n v="69"/>
    <n v="39221"/>
    <n v="5000"/>
    <n v="4.0999999999999996"/>
    <x v="0"/>
  </r>
  <r>
    <s v="EMP1392"/>
    <s v="Christopher Smith"/>
    <x v="4"/>
    <x v="2"/>
    <s v="Master's"/>
    <s v="San Jose"/>
    <x v="6"/>
    <s v="HR Manager"/>
    <x v="0"/>
    <x v="341"/>
    <x v="1"/>
    <n v="2"/>
    <n v="17"/>
    <x v="2"/>
    <x v="0"/>
    <x v="1"/>
    <x v="1"/>
    <n v="21"/>
    <n v="5"/>
    <n v="69158"/>
    <n v="13800"/>
    <n v="6.8"/>
    <x v="0"/>
  </r>
  <r>
    <s v="EMP1393"/>
    <s v="Robert Jones"/>
    <x v="4"/>
    <x v="2"/>
    <s v="Master's"/>
    <s v="Chicago"/>
    <x v="2"/>
    <s v="Senior Engineer"/>
    <x v="0"/>
    <x v="282"/>
    <x v="1"/>
    <n v="2"/>
    <n v="18"/>
    <x v="2"/>
    <x v="1"/>
    <x v="4"/>
    <x v="1"/>
    <n v="21"/>
    <n v="54"/>
    <n v="106358"/>
    <n v="22300"/>
    <n v="3.9"/>
    <x v="0"/>
  </r>
  <r>
    <s v="EMP1394"/>
    <s v="Patricia Hernandez"/>
    <x v="0"/>
    <x v="1"/>
    <s v="Master's"/>
    <s v="San Antonio"/>
    <x v="5"/>
    <s v="Marketing Manager"/>
    <x v="0"/>
    <x v="322"/>
    <x v="0"/>
    <n v="1"/>
    <n v="7"/>
    <x v="3"/>
    <x v="2"/>
    <x v="3"/>
    <x v="1"/>
    <n v="2"/>
    <n v="34"/>
    <n v="87452"/>
    <n v="6400"/>
    <n v="8"/>
    <x v="0"/>
  </r>
  <r>
    <s v="EMP1395"/>
    <s v="Lisa Rodriguez"/>
    <x v="21"/>
    <x v="1"/>
    <s v="Diploma"/>
    <s v="Houston"/>
    <x v="1"/>
    <s v="Sales Executive"/>
    <x v="0"/>
    <x v="342"/>
    <x v="2"/>
    <n v="0"/>
    <n v="3"/>
    <x v="2"/>
    <x v="1"/>
    <x v="1"/>
    <x v="1"/>
    <n v="5"/>
    <n v="67"/>
    <n v="62907"/>
    <n v="14100"/>
    <n v="6.3"/>
    <x v="1"/>
  </r>
  <r>
    <s v="EMP1396"/>
    <s v="Betty Davis"/>
    <x v="11"/>
    <x v="1"/>
    <s v="Master's"/>
    <s v="Dallas"/>
    <x v="2"/>
    <s v="Tech Lead"/>
    <x v="0"/>
    <x v="343"/>
    <x v="3"/>
    <n v="3"/>
    <n v="19"/>
    <x v="3"/>
    <x v="4"/>
    <x v="2"/>
    <x v="1"/>
    <n v="18"/>
    <n v="16"/>
    <n v="82984"/>
    <n v="5000"/>
    <n v="14.4"/>
    <x v="0"/>
  </r>
  <r>
    <s v="EMP1397"/>
    <s v="Thomas Lopez"/>
    <x v="14"/>
    <x v="2"/>
    <s v="Master's"/>
    <s v="San Jose"/>
    <x v="2"/>
    <s v="Tech Lead"/>
    <x v="0"/>
    <x v="344"/>
    <x v="1"/>
    <n v="2"/>
    <n v="5"/>
    <x v="2"/>
    <x v="4"/>
    <x v="3"/>
    <x v="0"/>
    <n v="14"/>
    <n v="45"/>
    <n v="105044"/>
    <n v="22900"/>
    <n v="14.7"/>
    <x v="0"/>
  </r>
  <r>
    <s v="EMP1398"/>
    <s v="William Miller"/>
    <x v="15"/>
    <x v="2"/>
    <s v="Bachelor's"/>
    <s v="San Jose"/>
    <x v="6"/>
    <s v="L&amp;D Specialist"/>
    <x v="0"/>
    <x v="345"/>
    <x v="1"/>
    <n v="2"/>
    <n v="3"/>
    <x v="3"/>
    <x v="3"/>
    <x v="0"/>
    <x v="0"/>
    <n v="15"/>
    <n v="1"/>
    <n v="60495"/>
    <n v="4500"/>
    <n v="3.9"/>
    <x v="0"/>
  </r>
  <r>
    <s v="EMP1399"/>
    <s v="Sandra Lopez"/>
    <x v="9"/>
    <x v="1"/>
    <s v="Master's"/>
    <s v="Dallas"/>
    <x v="0"/>
    <s v="Controller"/>
    <x v="0"/>
    <x v="346"/>
    <x v="1"/>
    <n v="2"/>
    <n v="17"/>
    <x v="2"/>
    <x v="0"/>
    <x v="0"/>
    <x v="1"/>
    <n v="21"/>
    <n v="77"/>
    <n v="81572"/>
    <n v="14300"/>
    <n v="13"/>
    <x v="1"/>
  </r>
  <r>
    <s v="EMP1400"/>
    <s v="Jennifer Hernandez"/>
    <x v="6"/>
    <x v="1"/>
    <s v="Master's"/>
    <s v="Houston"/>
    <x v="5"/>
    <s v="Marketing Analyst"/>
    <x v="2"/>
    <x v="24"/>
    <x v="1"/>
    <n v="2"/>
    <n v="12"/>
    <x v="0"/>
    <x v="1"/>
    <x v="4"/>
    <x v="1"/>
    <n v="9"/>
    <n v="61"/>
    <n v="48336"/>
    <n v="5500"/>
    <n v="7.5"/>
    <x v="0"/>
  </r>
  <r>
    <s v="EMP1401"/>
    <s v="James Lopez"/>
    <x v="20"/>
    <x v="2"/>
    <s v="Diploma"/>
    <s v="Philadelphia"/>
    <x v="2"/>
    <s v="Tech Lead"/>
    <x v="2"/>
    <x v="287"/>
    <x v="2"/>
    <n v="0"/>
    <n v="17"/>
    <x v="2"/>
    <x v="0"/>
    <x v="2"/>
    <x v="0"/>
    <n v="11"/>
    <n v="1"/>
    <n v="133998"/>
    <n v="21500"/>
    <n v="8.5"/>
    <x v="0"/>
  </r>
  <r>
    <s v="EMP1402"/>
    <s v="Michael Johnson"/>
    <x v="7"/>
    <x v="2"/>
    <s v="Bachelor's"/>
    <s v="Phoenix"/>
    <x v="2"/>
    <s v="Software Engineer"/>
    <x v="0"/>
    <x v="347"/>
    <x v="1"/>
    <n v="2"/>
    <n v="16"/>
    <x v="0"/>
    <x v="4"/>
    <x v="2"/>
    <x v="0"/>
    <n v="5"/>
    <n v="17"/>
    <n v="102785"/>
    <n v="11800"/>
    <n v="6.6"/>
    <x v="0"/>
  </r>
  <r>
    <s v="EMP1403"/>
    <s v="Mary Garcia"/>
    <x v="2"/>
    <x v="1"/>
    <s v="Bachelor's"/>
    <s v="Phoenix"/>
    <x v="5"/>
    <s v="Content Strategist"/>
    <x v="0"/>
    <x v="348"/>
    <x v="1"/>
    <n v="2"/>
    <n v="10"/>
    <x v="3"/>
    <x v="4"/>
    <x v="0"/>
    <x v="1"/>
    <n v="15"/>
    <n v="16"/>
    <n v="72594"/>
    <n v="5900"/>
    <n v="4.9000000000000004"/>
    <x v="0"/>
  </r>
  <r>
    <s v="EMP1404"/>
    <s v="Betty Anderson"/>
    <x v="10"/>
    <x v="1"/>
    <s v="Bachelor's"/>
    <s v="New York"/>
    <x v="4"/>
    <s v="Customer Success Manager"/>
    <x v="0"/>
    <x v="349"/>
    <x v="2"/>
    <n v="0"/>
    <n v="13"/>
    <x v="3"/>
    <x v="3"/>
    <x v="2"/>
    <x v="1"/>
    <n v="19"/>
    <n v="1"/>
    <n v="38534"/>
    <n v="2300"/>
    <n v="7.1"/>
    <x v="1"/>
  </r>
  <r>
    <s v="EMP1405"/>
    <s v="William Davis"/>
    <x v="25"/>
    <x v="2"/>
    <s v="Master's"/>
    <s v="San Antonio"/>
    <x v="3"/>
    <s v="Logistics Coordinator"/>
    <x v="0"/>
    <x v="350"/>
    <x v="3"/>
    <n v="3"/>
    <n v="20"/>
    <x v="0"/>
    <x v="1"/>
    <x v="0"/>
    <x v="0"/>
    <n v="19"/>
    <n v="23"/>
    <n v="57246"/>
    <n v="7600"/>
    <n v="13.4"/>
    <x v="0"/>
  </r>
  <r>
    <s v="EMP1406"/>
    <s v="Reese Hernandez"/>
    <x v="14"/>
    <x v="0"/>
    <s v="Bachelor's"/>
    <s v="San Antonio"/>
    <x v="1"/>
    <s v="Sales Manager"/>
    <x v="0"/>
    <x v="258"/>
    <x v="1"/>
    <n v="2"/>
    <n v="5"/>
    <x v="1"/>
    <x v="0"/>
    <x v="3"/>
    <x v="0"/>
    <n v="10"/>
    <n v="54"/>
    <n v="57594"/>
    <n v="1700"/>
    <n v="10.4"/>
    <x v="1"/>
  </r>
  <r>
    <s v="EMP1407"/>
    <s v="Richard Hernandez"/>
    <x v="6"/>
    <x v="2"/>
    <s v="Bachelor's"/>
    <s v="Philadelphia"/>
    <x v="1"/>
    <s v="Business Development Rep"/>
    <x v="0"/>
    <x v="120"/>
    <x v="3"/>
    <n v="3"/>
    <n v="9"/>
    <x v="3"/>
    <x v="4"/>
    <x v="4"/>
    <x v="0"/>
    <n v="19"/>
    <n v="12"/>
    <n v="68004"/>
    <n v="4300"/>
    <n v="13.7"/>
    <x v="0"/>
  </r>
  <r>
    <s v="EMP1408"/>
    <s v="Joseph Garcia"/>
    <x v="24"/>
    <x v="2"/>
    <s v="Master's"/>
    <s v="Philadelphia"/>
    <x v="5"/>
    <s v="SEO Specialist"/>
    <x v="0"/>
    <x v="351"/>
    <x v="0"/>
    <n v="1"/>
    <n v="4"/>
    <x v="0"/>
    <x v="3"/>
    <x v="3"/>
    <x v="1"/>
    <n v="18"/>
    <n v="49"/>
    <n v="53539"/>
    <n v="7000"/>
    <n v="7.3"/>
    <x v="0"/>
  </r>
  <r>
    <s v="EMP1409"/>
    <s v="Jennifer Hernandez"/>
    <x v="2"/>
    <x v="1"/>
    <s v="Master's"/>
    <s v="Houston"/>
    <x v="0"/>
    <s v="Financial Analyst"/>
    <x v="0"/>
    <x v="352"/>
    <x v="3"/>
    <n v="3"/>
    <n v="7"/>
    <x v="2"/>
    <x v="0"/>
    <x v="1"/>
    <x v="1"/>
    <n v="4"/>
    <n v="24"/>
    <n v="61464"/>
    <n v="12500"/>
    <n v="7.1"/>
    <x v="0"/>
  </r>
  <r>
    <s v="EMP1410"/>
    <s v="Barbara Anderson"/>
    <x v="2"/>
    <x v="1"/>
    <s v="Bachelor's"/>
    <s v="Chicago"/>
    <x v="2"/>
    <s v="DevOps Engineer"/>
    <x v="0"/>
    <x v="353"/>
    <x v="0"/>
    <n v="1"/>
    <n v="4"/>
    <x v="0"/>
    <x v="2"/>
    <x v="1"/>
    <x v="0"/>
    <n v="22"/>
    <n v="24"/>
    <n v="124919"/>
    <n v="17700"/>
    <n v="12.5"/>
    <x v="0"/>
  </r>
  <r>
    <s v="EMP1411"/>
    <s v="Thomas Wilson"/>
    <x v="11"/>
    <x v="2"/>
    <s v="Master's"/>
    <s v="New York"/>
    <x v="3"/>
    <s v="Logistics Coordinator"/>
    <x v="2"/>
    <x v="354"/>
    <x v="3"/>
    <n v="3"/>
    <n v="17"/>
    <x v="0"/>
    <x v="2"/>
    <x v="2"/>
    <x v="0"/>
    <n v="16"/>
    <n v="67"/>
    <n v="70575"/>
    <n v="7700"/>
    <n v="5.2"/>
    <x v="0"/>
  </r>
  <r>
    <s v="EMP1412"/>
    <s v="Michael Jones"/>
    <x v="8"/>
    <x v="2"/>
    <s v="Bachelor's"/>
    <s v="New York"/>
    <x v="3"/>
    <s v="Supply Chain Analyst"/>
    <x v="0"/>
    <x v="208"/>
    <x v="0"/>
    <n v="1"/>
    <n v="6"/>
    <x v="0"/>
    <x v="0"/>
    <x v="3"/>
    <x v="0"/>
    <n v="17"/>
    <n v="14"/>
    <n v="60611"/>
    <n v="7700"/>
    <n v="14.3"/>
    <x v="0"/>
  </r>
  <r>
    <s v="EMP1413"/>
    <s v="Lisa Martinez"/>
    <x v="25"/>
    <x v="1"/>
    <s v="Master's"/>
    <s v="Philadelphia"/>
    <x v="0"/>
    <s v="Financial Analyst"/>
    <x v="0"/>
    <x v="355"/>
    <x v="0"/>
    <n v="1"/>
    <n v="18"/>
    <x v="3"/>
    <x v="3"/>
    <x v="3"/>
    <x v="0"/>
    <n v="8"/>
    <n v="2"/>
    <n v="81761"/>
    <n v="5300"/>
    <n v="14.8"/>
    <x v="0"/>
  </r>
  <r>
    <s v="EMP1414"/>
    <s v="Nancy Miller"/>
    <x v="22"/>
    <x v="1"/>
    <s v="Bachelor's"/>
    <s v="Chicago"/>
    <x v="2"/>
    <s v="Software Engineer"/>
    <x v="0"/>
    <x v="356"/>
    <x v="0"/>
    <n v="1"/>
    <n v="20"/>
    <x v="0"/>
    <x v="4"/>
    <x v="4"/>
    <x v="1"/>
    <n v="4"/>
    <n v="61"/>
    <n v="127958"/>
    <n v="13900"/>
    <n v="10"/>
    <x v="0"/>
  </r>
  <r>
    <s v="EMP1415"/>
    <s v="Joseph Williams"/>
    <x v="23"/>
    <x v="2"/>
    <s v="Master's"/>
    <s v="Chicago"/>
    <x v="1"/>
    <s v="Sales Executive"/>
    <x v="0"/>
    <x v="215"/>
    <x v="1"/>
    <n v="2"/>
    <n v="16"/>
    <x v="0"/>
    <x v="0"/>
    <x v="2"/>
    <x v="0"/>
    <n v="20"/>
    <n v="51"/>
    <n v="46379"/>
    <n v="6400"/>
    <n v="12.8"/>
    <x v="0"/>
  </r>
  <r>
    <s v="EMP1416"/>
    <s v="Jennifer Lopez"/>
    <x v="5"/>
    <x v="1"/>
    <s v="Bachelor's"/>
    <s v="Chicago"/>
    <x v="1"/>
    <s v="Sales Executive"/>
    <x v="1"/>
    <x v="357"/>
    <x v="3"/>
    <n v="3"/>
    <n v="13"/>
    <x v="3"/>
    <x v="2"/>
    <x v="1"/>
    <x v="0"/>
    <n v="0"/>
    <n v="13"/>
    <n v="45888"/>
    <n v="3400"/>
    <n v="3.5"/>
    <x v="0"/>
  </r>
  <r>
    <s v="EMP1417"/>
    <s v="Patricia Brown"/>
    <x v="19"/>
    <x v="1"/>
    <s v="PhD"/>
    <s v="Los Angeles"/>
    <x v="2"/>
    <s v="Tech Lead"/>
    <x v="0"/>
    <x v="228"/>
    <x v="1"/>
    <n v="2"/>
    <n v="19"/>
    <x v="0"/>
    <x v="1"/>
    <x v="1"/>
    <x v="1"/>
    <n v="17"/>
    <n v="37"/>
    <n v="110289"/>
    <n v="11400"/>
    <n v="3.7"/>
    <x v="0"/>
  </r>
  <r>
    <s v="EMP1418"/>
    <s v="Anthony Miller"/>
    <x v="24"/>
    <x v="2"/>
    <s v="Bachelor's"/>
    <s v="Los Angeles"/>
    <x v="5"/>
    <s v="Marketing Analyst"/>
    <x v="0"/>
    <x v="358"/>
    <x v="1"/>
    <n v="2"/>
    <n v="1"/>
    <x v="0"/>
    <x v="1"/>
    <x v="3"/>
    <x v="1"/>
    <n v="3"/>
    <n v="36"/>
    <n v="54658"/>
    <n v="6000"/>
    <n v="14.1"/>
    <x v="0"/>
  </r>
  <r>
    <s v="EMP1419"/>
    <s v="David Johnson"/>
    <x v="25"/>
    <x v="2"/>
    <s v="Bachelor's"/>
    <s v="San Jose"/>
    <x v="3"/>
    <s v="Supply Chain Analyst"/>
    <x v="2"/>
    <x v="95"/>
    <x v="0"/>
    <n v="1"/>
    <n v="20"/>
    <x v="0"/>
    <x v="3"/>
    <x v="1"/>
    <x v="1"/>
    <n v="8"/>
    <n v="63"/>
    <n v="79765"/>
    <n v="8400"/>
    <n v="8.1"/>
    <x v="0"/>
  </r>
  <r>
    <s v="EMP1420"/>
    <s v="Betty Anderson"/>
    <x v="15"/>
    <x v="1"/>
    <s v="Bachelor's"/>
    <s v="San Antonio"/>
    <x v="1"/>
    <s v="Account Manager"/>
    <x v="1"/>
    <x v="71"/>
    <x v="3"/>
    <n v="3"/>
    <n v="5"/>
    <x v="0"/>
    <x v="3"/>
    <x v="3"/>
    <x v="0"/>
    <n v="2"/>
    <n v="41"/>
    <n v="70598"/>
    <n v="9500"/>
    <n v="14.7"/>
    <x v="0"/>
  </r>
  <r>
    <s v="EMP1421"/>
    <s v="Richard Garcia"/>
    <x v="25"/>
    <x v="2"/>
    <s v="Master's"/>
    <s v="Dallas"/>
    <x v="2"/>
    <s v="Senior Engineer"/>
    <x v="0"/>
    <x v="359"/>
    <x v="0"/>
    <n v="1"/>
    <n v="16"/>
    <x v="2"/>
    <x v="2"/>
    <x v="0"/>
    <x v="1"/>
    <n v="7"/>
    <n v="49"/>
    <n v="113707"/>
    <n v="26800"/>
    <n v="14.1"/>
    <x v="0"/>
  </r>
  <r>
    <s v="EMP1422"/>
    <s v="Susan Rodriguez"/>
    <x v="3"/>
    <x v="1"/>
    <s v="Bachelor's"/>
    <s v="Philadelphia"/>
    <x v="6"/>
    <s v="HR Executive"/>
    <x v="2"/>
    <x v="360"/>
    <x v="1"/>
    <n v="2"/>
    <n v="8"/>
    <x v="0"/>
    <x v="0"/>
    <x v="4"/>
    <x v="1"/>
    <n v="14"/>
    <n v="18"/>
    <n v="41124"/>
    <n v="4900"/>
    <n v="4.5999999999999996"/>
    <x v="0"/>
  </r>
  <r>
    <s v="EMP1423"/>
    <s v="Anthony Brown"/>
    <x v="16"/>
    <x v="2"/>
    <s v="Bachelor's"/>
    <s v="San Diego"/>
    <x v="1"/>
    <s v="Business Development Rep"/>
    <x v="2"/>
    <x v="40"/>
    <x v="3"/>
    <n v="3"/>
    <n v="4"/>
    <x v="3"/>
    <x v="0"/>
    <x v="1"/>
    <x v="1"/>
    <n v="4"/>
    <n v="46"/>
    <n v="46726"/>
    <n v="3200"/>
    <n v="3.6"/>
    <x v="0"/>
  </r>
  <r>
    <s v="EMP1424"/>
    <s v="John Smith"/>
    <x v="3"/>
    <x v="2"/>
    <s v="Master's"/>
    <s v="New York"/>
    <x v="0"/>
    <s v="Finance Manager"/>
    <x v="0"/>
    <x v="361"/>
    <x v="2"/>
    <n v="0"/>
    <n v="6"/>
    <x v="0"/>
    <x v="0"/>
    <x v="1"/>
    <x v="1"/>
    <n v="20"/>
    <n v="4"/>
    <n v="104027"/>
    <n v="14700"/>
    <n v="8.6"/>
    <x v="0"/>
  </r>
  <r>
    <s v="EMP1425"/>
    <s v="James Miller"/>
    <x v="25"/>
    <x v="2"/>
    <s v="Diploma"/>
    <s v="San Antonio"/>
    <x v="5"/>
    <s v="Marketing Manager"/>
    <x v="1"/>
    <x v="362"/>
    <x v="2"/>
    <n v="0"/>
    <n v="18"/>
    <x v="0"/>
    <x v="0"/>
    <x v="3"/>
    <x v="0"/>
    <n v="12"/>
    <n v="79"/>
    <n v="77890"/>
    <n v="8300"/>
    <n v="14.2"/>
    <x v="0"/>
  </r>
  <r>
    <s v="EMP1426"/>
    <s v="Robert Wilson"/>
    <x v="4"/>
    <x v="2"/>
    <s v="Master's"/>
    <s v="Los Angeles"/>
    <x v="2"/>
    <s v="Software Engineer"/>
    <x v="0"/>
    <x v="80"/>
    <x v="3"/>
    <n v="3"/>
    <n v="16"/>
    <x v="3"/>
    <x v="3"/>
    <x v="0"/>
    <x v="0"/>
    <n v="24"/>
    <n v="42"/>
    <n v="123097"/>
    <n v="7500"/>
    <n v="12.6"/>
    <x v="0"/>
  </r>
  <r>
    <s v="EMP1427"/>
    <s v="Robert Rodriguez"/>
    <x v="12"/>
    <x v="2"/>
    <s v="PhD"/>
    <s v="San Jose"/>
    <x v="0"/>
    <s v="Financial Analyst"/>
    <x v="0"/>
    <x v="363"/>
    <x v="3"/>
    <n v="3"/>
    <n v="20"/>
    <x v="2"/>
    <x v="2"/>
    <x v="2"/>
    <x v="0"/>
    <n v="1"/>
    <n v="6"/>
    <n v="75258"/>
    <n v="13300"/>
    <n v="14.2"/>
    <x v="0"/>
  </r>
  <r>
    <s v="EMP1428"/>
    <s v="William Smith"/>
    <x v="12"/>
    <x v="2"/>
    <s v="Bachelor's"/>
    <s v="Dallas"/>
    <x v="1"/>
    <s v="Account Manager"/>
    <x v="0"/>
    <x v="364"/>
    <x v="0"/>
    <n v="1"/>
    <n v="17"/>
    <x v="3"/>
    <x v="0"/>
    <x v="1"/>
    <x v="1"/>
    <n v="18"/>
    <n v="48"/>
    <n v="70601"/>
    <n v="5900"/>
    <n v="11.4"/>
    <x v="1"/>
  </r>
  <r>
    <s v="EMP1429"/>
    <s v="Margaret Smith"/>
    <x v="7"/>
    <x v="1"/>
    <s v="Diploma"/>
    <s v="Dallas"/>
    <x v="3"/>
    <s v="Logistics Coordinator"/>
    <x v="0"/>
    <x v="57"/>
    <x v="0"/>
    <n v="1"/>
    <n v="15"/>
    <x v="1"/>
    <x v="2"/>
    <x v="0"/>
    <x v="1"/>
    <n v="24"/>
    <n v="43"/>
    <n v="51113"/>
    <n v="1400"/>
    <n v="5.6"/>
    <x v="0"/>
  </r>
  <r>
    <s v="EMP1430"/>
    <s v="Elizabeth Jones"/>
    <x v="6"/>
    <x v="1"/>
    <s v="Diploma"/>
    <s v="San Diego"/>
    <x v="3"/>
    <s v="Logistics Coordinator"/>
    <x v="0"/>
    <x v="365"/>
    <x v="0"/>
    <n v="1"/>
    <n v="14"/>
    <x v="0"/>
    <x v="1"/>
    <x v="3"/>
    <x v="0"/>
    <n v="24"/>
    <n v="39"/>
    <n v="89752"/>
    <n v="9500"/>
    <n v="10.3"/>
    <x v="1"/>
  </r>
  <r>
    <s v="EMP1431"/>
    <s v="Joseph Garcia"/>
    <x v="15"/>
    <x v="2"/>
    <s v="Master's"/>
    <s v="Phoenix"/>
    <x v="1"/>
    <s v="Sales Executive"/>
    <x v="0"/>
    <x v="366"/>
    <x v="1"/>
    <n v="2"/>
    <n v="3"/>
    <x v="2"/>
    <x v="4"/>
    <x v="3"/>
    <x v="1"/>
    <n v="3"/>
    <n v="72"/>
    <n v="68158"/>
    <n v="11900"/>
    <n v="12.3"/>
    <x v="0"/>
  </r>
  <r>
    <s v="EMP1432"/>
    <s v="Anthony Jones"/>
    <x v="25"/>
    <x v="2"/>
    <s v="Bachelor's"/>
    <s v="Phoenix"/>
    <x v="2"/>
    <s v="DevOps Engineer"/>
    <x v="2"/>
    <x v="367"/>
    <x v="2"/>
    <n v="0"/>
    <n v="20"/>
    <x v="3"/>
    <x v="1"/>
    <x v="0"/>
    <x v="1"/>
    <n v="20"/>
    <n v="7"/>
    <n v="137171"/>
    <n v="11300"/>
    <n v="7.5"/>
    <x v="0"/>
  </r>
  <r>
    <s v="EMP1433"/>
    <s v="Sarah Smith"/>
    <x v="10"/>
    <x v="1"/>
    <s v="Master's"/>
    <s v="Dallas"/>
    <x v="1"/>
    <s v="Sales Manager"/>
    <x v="1"/>
    <x v="368"/>
    <x v="1"/>
    <n v="2"/>
    <n v="13"/>
    <x v="0"/>
    <x v="4"/>
    <x v="1"/>
    <x v="1"/>
    <n v="2"/>
    <n v="23"/>
    <n v="49782"/>
    <n v="6900"/>
    <n v="11"/>
    <x v="0"/>
  </r>
  <r>
    <s v="EMP1434"/>
    <s v="Sandra Miller"/>
    <x v="0"/>
    <x v="1"/>
    <s v="Bachelor's"/>
    <s v="Chicago"/>
    <x v="7"/>
    <s v="IT Analyst"/>
    <x v="1"/>
    <x v="188"/>
    <x v="2"/>
    <n v="0"/>
    <n v="11"/>
    <x v="0"/>
    <x v="0"/>
    <x v="3"/>
    <x v="0"/>
    <n v="10"/>
    <n v="72"/>
    <n v="94607"/>
    <n v="12300"/>
    <n v="8.6999999999999993"/>
    <x v="0"/>
  </r>
  <r>
    <s v="EMP1435"/>
    <s v="Jamie Smith"/>
    <x v="15"/>
    <x v="0"/>
    <s v="Bachelor's"/>
    <s v="San Antonio"/>
    <x v="5"/>
    <s v="Marketing Analyst"/>
    <x v="0"/>
    <x v="369"/>
    <x v="0"/>
    <n v="1"/>
    <n v="7"/>
    <x v="1"/>
    <x v="4"/>
    <x v="2"/>
    <x v="0"/>
    <n v="16"/>
    <n v="27"/>
    <n v="46503"/>
    <n v="1500"/>
    <n v="6.2"/>
    <x v="1"/>
  </r>
  <r>
    <s v="EMP1436"/>
    <s v="James Johnson"/>
    <x v="0"/>
    <x v="2"/>
    <s v="Bachelor's"/>
    <s v="San Jose"/>
    <x v="1"/>
    <s v="Account Manager"/>
    <x v="0"/>
    <x v="338"/>
    <x v="2"/>
    <n v="0"/>
    <n v="10"/>
    <x v="0"/>
    <x v="1"/>
    <x v="0"/>
    <x v="1"/>
    <n v="19"/>
    <n v="25"/>
    <n v="72466"/>
    <n v="8800"/>
    <n v="12.4"/>
    <x v="0"/>
  </r>
  <r>
    <s v="EMP1437"/>
    <s v="Karen Martinez"/>
    <x v="14"/>
    <x v="1"/>
    <s v="Bachelor's"/>
    <s v="New York"/>
    <x v="2"/>
    <s v="Software Engineer"/>
    <x v="1"/>
    <x v="370"/>
    <x v="1"/>
    <n v="2"/>
    <n v="11"/>
    <x v="1"/>
    <x v="0"/>
    <x v="2"/>
    <x v="0"/>
    <n v="20"/>
    <n v="74"/>
    <n v="130117"/>
    <n v="3900"/>
    <n v="6.8"/>
    <x v="0"/>
  </r>
  <r>
    <s v="EMP1438"/>
    <s v="Daniel Brown"/>
    <x v="0"/>
    <x v="2"/>
    <s v="Bachelor's"/>
    <s v="New York"/>
    <x v="3"/>
    <s v="Operations Analyst"/>
    <x v="0"/>
    <x v="371"/>
    <x v="2"/>
    <n v="0"/>
    <n v="6"/>
    <x v="1"/>
    <x v="3"/>
    <x v="0"/>
    <x v="1"/>
    <n v="3"/>
    <n v="63"/>
    <n v="58747"/>
    <n v="2100"/>
    <n v="9.9"/>
    <x v="1"/>
  </r>
  <r>
    <s v="EMP1439"/>
    <s v="David Garcia"/>
    <x v="0"/>
    <x v="2"/>
    <s v="Diploma"/>
    <s v="San Antonio"/>
    <x v="5"/>
    <s v="SEO Specialist"/>
    <x v="0"/>
    <x v="129"/>
    <x v="2"/>
    <n v="0"/>
    <n v="11"/>
    <x v="0"/>
    <x v="2"/>
    <x v="1"/>
    <x v="1"/>
    <n v="2"/>
    <n v="13"/>
    <n v="75069"/>
    <n v="7800"/>
    <n v="10.1"/>
    <x v="0"/>
  </r>
  <r>
    <s v="EMP1440"/>
    <s v="Karen Anderson"/>
    <x v="22"/>
    <x v="1"/>
    <s v="Bachelor's"/>
    <s v="San Diego"/>
    <x v="3"/>
    <s v="Operations Analyst"/>
    <x v="0"/>
    <x v="372"/>
    <x v="2"/>
    <n v="0"/>
    <n v="20"/>
    <x v="0"/>
    <x v="1"/>
    <x v="3"/>
    <x v="0"/>
    <n v="15"/>
    <n v="15"/>
    <n v="74104"/>
    <n v="10000"/>
    <n v="11"/>
    <x v="0"/>
  </r>
  <r>
    <s v="EMP1441"/>
    <s v="Avery Miller"/>
    <x v="7"/>
    <x v="0"/>
    <s v="Bachelor's"/>
    <s v="San Antonio"/>
    <x v="0"/>
    <s v="Accountant"/>
    <x v="0"/>
    <x v="373"/>
    <x v="2"/>
    <n v="0"/>
    <n v="8"/>
    <x v="0"/>
    <x v="1"/>
    <x v="3"/>
    <x v="0"/>
    <n v="11"/>
    <n v="66"/>
    <n v="98167"/>
    <n v="13400"/>
    <n v="12.5"/>
    <x v="0"/>
  </r>
  <r>
    <s v="EMP1442"/>
    <s v="Charles Miller"/>
    <x v="3"/>
    <x v="2"/>
    <s v="PhD"/>
    <s v="Philadelphia"/>
    <x v="7"/>
    <s v="IT Manager"/>
    <x v="0"/>
    <x v="74"/>
    <x v="1"/>
    <n v="2"/>
    <n v="7"/>
    <x v="0"/>
    <x v="4"/>
    <x v="3"/>
    <x v="1"/>
    <n v="3"/>
    <n v="16"/>
    <n v="92870"/>
    <n v="13100"/>
    <n v="7.7"/>
    <x v="0"/>
  </r>
  <r>
    <s v="EMP1443"/>
    <s v="Betty Miller"/>
    <x v="6"/>
    <x v="1"/>
    <s v="Bachelor's"/>
    <s v="Los Angeles"/>
    <x v="6"/>
    <s v="HR Executive"/>
    <x v="0"/>
    <x v="374"/>
    <x v="0"/>
    <n v="1"/>
    <n v="11"/>
    <x v="0"/>
    <x v="1"/>
    <x v="3"/>
    <x v="1"/>
    <n v="14"/>
    <n v="80"/>
    <n v="41680"/>
    <n v="5300"/>
    <n v="10.1"/>
    <x v="1"/>
  </r>
  <r>
    <s v="EMP1444"/>
    <s v="Christopher Anderson"/>
    <x v="4"/>
    <x v="2"/>
    <s v="Master's"/>
    <s v="San Jose"/>
    <x v="7"/>
    <s v="IT Manager"/>
    <x v="2"/>
    <x v="159"/>
    <x v="1"/>
    <n v="2"/>
    <n v="18"/>
    <x v="3"/>
    <x v="1"/>
    <x v="2"/>
    <x v="1"/>
    <n v="19"/>
    <n v="15"/>
    <n v="79779"/>
    <n v="5900"/>
    <n v="6.3"/>
    <x v="0"/>
  </r>
  <r>
    <s v="EMP1445"/>
    <s v="William Anderson"/>
    <x v="4"/>
    <x v="2"/>
    <s v="Diploma"/>
    <s v="Los Angeles"/>
    <x v="4"/>
    <s v="Support Executive"/>
    <x v="0"/>
    <x v="375"/>
    <x v="1"/>
    <n v="2"/>
    <n v="16"/>
    <x v="0"/>
    <x v="4"/>
    <x v="2"/>
    <x v="1"/>
    <n v="10"/>
    <n v="57"/>
    <n v="41814"/>
    <n v="5000"/>
    <n v="3.3"/>
    <x v="1"/>
  </r>
  <r>
    <s v="EMP1446"/>
    <s v="James Anderson"/>
    <x v="12"/>
    <x v="2"/>
    <s v="Bachelor's"/>
    <s v="Los Angeles"/>
    <x v="6"/>
    <s v="HR Manager"/>
    <x v="0"/>
    <x v="63"/>
    <x v="1"/>
    <n v="2"/>
    <n v="20"/>
    <x v="1"/>
    <x v="1"/>
    <x v="0"/>
    <x v="1"/>
    <n v="0"/>
    <n v="66"/>
    <n v="62466"/>
    <n v="1900"/>
    <n v="10.4"/>
    <x v="0"/>
  </r>
  <r>
    <s v="EMP1447"/>
    <s v="David Johnson"/>
    <x v="21"/>
    <x v="2"/>
    <s v="Bachelor's"/>
    <s v="Phoenix"/>
    <x v="0"/>
    <s v="Finance Manager"/>
    <x v="0"/>
    <x v="376"/>
    <x v="1"/>
    <n v="2"/>
    <n v="5"/>
    <x v="1"/>
    <x v="4"/>
    <x v="2"/>
    <x v="1"/>
    <n v="16"/>
    <n v="51"/>
    <n v="100324"/>
    <n v="2700"/>
    <n v="8.8000000000000007"/>
    <x v="0"/>
  </r>
  <r>
    <s v="EMP1448"/>
    <s v="Michael Hernandez"/>
    <x v="11"/>
    <x v="2"/>
    <s v="Bachelor's"/>
    <s v="San Jose"/>
    <x v="5"/>
    <s v="Marketing Manager"/>
    <x v="0"/>
    <x v="377"/>
    <x v="0"/>
    <n v="1"/>
    <n v="19"/>
    <x v="1"/>
    <x v="4"/>
    <x v="2"/>
    <x v="1"/>
    <n v="6"/>
    <n v="72"/>
    <n v="58489"/>
    <n v="1700"/>
    <n v="13.6"/>
    <x v="0"/>
  </r>
  <r>
    <s v="EMP1449"/>
    <s v="Christopher Wilson"/>
    <x v="2"/>
    <x v="2"/>
    <s v="Bachelor's"/>
    <s v="New York"/>
    <x v="3"/>
    <s v="Supply Chain Analyst"/>
    <x v="0"/>
    <x v="138"/>
    <x v="3"/>
    <n v="3"/>
    <n v="2"/>
    <x v="0"/>
    <x v="3"/>
    <x v="2"/>
    <x v="1"/>
    <n v="5"/>
    <n v="45"/>
    <n v="71857"/>
    <n v="9700"/>
    <n v="10.7"/>
    <x v="0"/>
  </r>
  <r>
    <s v="EMP1450"/>
    <s v="Christopher Garcia"/>
    <x v="0"/>
    <x v="2"/>
    <s v="Bachelor's"/>
    <s v="Los Angeles"/>
    <x v="5"/>
    <s v="Marketing Manager"/>
    <x v="0"/>
    <x v="378"/>
    <x v="0"/>
    <n v="1"/>
    <n v="11"/>
    <x v="3"/>
    <x v="2"/>
    <x v="3"/>
    <x v="0"/>
    <n v="16"/>
    <n v="27"/>
    <n v="45714"/>
    <n v="2800"/>
    <n v="9.8000000000000007"/>
    <x v="0"/>
  </r>
  <r>
    <s v="EMP1451"/>
    <s v="Nancy Martinez"/>
    <x v="12"/>
    <x v="1"/>
    <s v="Bachelor's"/>
    <s v="Los Angeles"/>
    <x v="4"/>
    <s v="Support Executive"/>
    <x v="0"/>
    <x v="379"/>
    <x v="3"/>
    <n v="3"/>
    <n v="14"/>
    <x v="2"/>
    <x v="0"/>
    <x v="0"/>
    <x v="0"/>
    <n v="10"/>
    <n v="75"/>
    <n v="45489"/>
    <n v="7500"/>
    <n v="8.9"/>
    <x v="1"/>
  </r>
  <r>
    <s v="EMP1452"/>
    <s v="James Jones"/>
    <x v="5"/>
    <x v="2"/>
    <s v="Diploma"/>
    <s v="Philadelphia"/>
    <x v="3"/>
    <s v="Logistics Coordinator"/>
    <x v="0"/>
    <x v="380"/>
    <x v="3"/>
    <n v="3"/>
    <n v="19"/>
    <x v="2"/>
    <x v="1"/>
    <x v="2"/>
    <x v="1"/>
    <n v="3"/>
    <n v="53"/>
    <n v="63636"/>
    <n v="15100"/>
    <n v="3.4"/>
    <x v="0"/>
  </r>
  <r>
    <s v="EMP1453"/>
    <s v="Matthew Garcia"/>
    <x v="23"/>
    <x v="2"/>
    <s v="Master's"/>
    <s v="Philadelphia"/>
    <x v="5"/>
    <s v="Content Strategist"/>
    <x v="1"/>
    <x v="381"/>
    <x v="2"/>
    <n v="0"/>
    <n v="11"/>
    <x v="0"/>
    <x v="1"/>
    <x v="1"/>
    <x v="1"/>
    <n v="7"/>
    <n v="6"/>
    <n v="70777"/>
    <n v="10100"/>
    <n v="8.9"/>
    <x v="0"/>
  </r>
  <r>
    <s v="EMP1454"/>
    <s v="David Wilson"/>
    <x v="16"/>
    <x v="2"/>
    <s v="Master's"/>
    <s v="New York"/>
    <x v="2"/>
    <s v="Software Engineer"/>
    <x v="0"/>
    <x v="382"/>
    <x v="2"/>
    <n v="0"/>
    <n v="3"/>
    <x v="3"/>
    <x v="3"/>
    <x v="1"/>
    <x v="0"/>
    <n v="8"/>
    <n v="42"/>
    <n v="118349"/>
    <n v="8400"/>
    <n v="3.1"/>
    <x v="0"/>
  </r>
  <r>
    <s v="EMP1455"/>
    <s v="Robert Anderson"/>
    <x v="16"/>
    <x v="2"/>
    <s v="Bachelor's"/>
    <s v="Los Angeles"/>
    <x v="2"/>
    <s v="DevOps Engineer"/>
    <x v="0"/>
    <x v="383"/>
    <x v="1"/>
    <n v="2"/>
    <n v="4"/>
    <x v="3"/>
    <x v="0"/>
    <x v="0"/>
    <x v="1"/>
    <n v="15"/>
    <n v="62"/>
    <n v="89398"/>
    <n v="7200"/>
    <n v="14.6"/>
    <x v="0"/>
  </r>
  <r>
    <s v="EMP1456"/>
    <s v="Daniel Davis"/>
    <x v="14"/>
    <x v="2"/>
    <s v="Bachelor's"/>
    <s v="San Diego"/>
    <x v="0"/>
    <s v="Accountant"/>
    <x v="0"/>
    <x v="384"/>
    <x v="1"/>
    <n v="2"/>
    <n v="10"/>
    <x v="3"/>
    <x v="1"/>
    <x v="3"/>
    <x v="0"/>
    <n v="14"/>
    <n v="49"/>
    <n v="109758"/>
    <n v="8200"/>
    <n v="11.8"/>
    <x v="0"/>
  </r>
  <r>
    <s v="EMP1457"/>
    <s v="David Brown"/>
    <x v="20"/>
    <x v="2"/>
    <s v="PhD"/>
    <s v="San Antonio"/>
    <x v="3"/>
    <s v="Operations Manager"/>
    <x v="0"/>
    <x v="41"/>
    <x v="0"/>
    <n v="1"/>
    <n v="15"/>
    <x v="1"/>
    <x v="3"/>
    <x v="2"/>
    <x v="1"/>
    <n v="5"/>
    <n v="39"/>
    <n v="51924"/>
    <n v="1400"/>
    <n v="7.4"/>
    <x v="0"/>
  </r>
  <r>
    <s v="EMP1458"/>
    <s v="Mark Johnson"/>
    <x v="20"/>
    <x v="2"/>
    <s v="Bachelor's"/>
    <s v="San Antonio"/>
    <x v="5"/>
    <s v="Marketing Analyst"/>
    <x v="0"/>
    <x v="385"/>
    <x v="3"/>
    <n v="3"/>
    <n v="15"/>
    <x v="3"/>
    <x v="4"/>
    <x v="0"/>
    <x v="0"/>
    <n v="13"/>
    <n v="65"/>
    <n v="76210"/>
    <n v="5200"/>
    <n v="6.2"/>
    <x v="0"/>
  </r>
  <r>
    <s v="EMP1459"/>
    <s v="William Garcia"/>
    <x v="5"/>
    <x v="2"/>
    <s v="Bachelor's"/>
    <s v="New York"/>
    <x v="6"/>
    <s v="Recruiter"/>
    <x v="0"/>
    <x v="386"/>
    <x v="3"/>
    <n v="3"/>
    <n v="13"/>
    <x v="0"/>
    <x v="1"/>
    <x v="3"/>
    <x v="1"/>
    <n v="3"/>
    <n v="6"/>
    <n v="52415"/>
    <n v="6500"/>
    <n v="9.4"/>
    <x v="0"/>
  </r>
  <r>
    <s v="EMP1460"/>
    <s v="Linda Johnson"/>
    <x v="19"/>
    <x v="1"/>
    <s v="Bachelor's"/>
    <s v="Houston"/>
    <x v="2"/>
    <s v="Software Engineer"/>
    <x v="0"/>
    <x v="323"/>
    <x v="3"/>
    <n v="3"/>
    <n v="20"/>
    <x v="0"/>
    <x v="3"/>
    <x v="0"/>
    <x v="0"/>
    <n v="9"/>
    <n v="0"/>
    <n v="83278"/>
    <n v="11300"/>
    <n v="11.3"/>
    <x v="0"/>
  </r>
  <r>
    <s v="EMP1461"/>
    <s v="Mark Lopez"/>
    <x v="2"/>
    <x v="2"/>
    <s v="Bachelor's"/>
    <s v="San Antonio"/>
    <x v="1"/>
    <s v="Sales Executive"/>
    <x v="0"/>
    <x v="387"/>
    <x v="2"/>
    <n v="0"/>
    <n v="8"/>
    <x v="2"/>
    <x v="0"/>
    <x v="4"/>
    <x v="1"/>
    <n v="2"/>
    <n v="21"/>
    <n v="49551"/>
    <n v="9200"/>
    <n v="8.5"/>
    <x v="0"/>
  </r>
  <r>
    <s v="EMP1462"/>
    <s v="Jessica Martinez"/>
    <x v="10"/>
    <x v="1"/>
    <s v="Bachelor's"/>
    <s v="Chicago"/>
    <x v="2"/>
    <s v="Software Engineer"/>
    <x v="0"/>
    <x v="105"/>
    <x v="3"/>
    <n v="3"/>
    <n v="8"/>
    <x v="0"/>
    <x v="1"/>
    <x v="4"/>
    <x v="0"/>
    <n v="23"/>
    <n v="42"/>
    <n v="72279"/>
    <n v="10400"/>
    <n v="13"/>
    <x v="0"/>
  </r>
  <r>
    <s v="EMP1463"/>
    <s v="David Rodriguez"/>
    <x v="6"/>
    <x v="2"/>
    <s v="Master's"/>
    <s v="San Jose"/>
    <x v="2"/>
    <s v="DevOps Engineer"/>
    <x v="0"/>
    <x v="388"/>
    <x v="0"/>
    <n v="1"/>
    <n v="9"/>
    <x v="0"/>
    <x v="3"/>
    <x v="0"/>
    <x v="1"/>
    <n v="23"/>
    <n v="2"/>
    <n v="116219"/>
    <n v="13000"/>
    <n v="9.1999999999999993"/>
    <x v="0"/>
  </r>
  <r>
    <s v="EMP1464"/>
    <s v="Morgan Hernandez"/>
    <x v="24"/>
    <x v="0"/>
    <s v="Master's"/>
    <s v="Phoenix"/>
    <x v="2"/>
    <s v="Senior Engineer"/>
    <x v="2"/>
    <x v="389"/>
    <x v="1"/>
    <n v="2"/>
    <n v="1"/>
    <x v="0"/>
    <x v="2"/>
    <x v="2"/>
    <x v="1"/>
    <n v="16"/>
    <n v="22"/>
    <n v="126455"/>
    <n v="16700"/>
    <n v="5.3"/>
    <x v="0"/>
  </r>
  <r>
    <s v="EMP1465"/>
    <s v="Elizabeth Anderson"/>
    <x v="23"/>
    <x v="1"/>
    <s v="Bachelor's"/>
    <s v="San Jose"/>
    <x v="5"/>
    <s v="Content Strategist"/>
    <x v="1"/>
    <x v="390"/>
    <x v="0"/>
    <n v="1"/>
    <n v="14"/>
    <x v="0"/>
    <x v="3"/>
    <x v="4"/>
    <x v="1"/>
    <n v="3"/>
    <n v="1"/>
    <n v="47693"/>
    <n v="6200"/>
    <n v="13"/>
    <x v="0"/>
  </r>
  <r>
    <s v="EMP1466"/>
    <s v="Jennifer Davis"/>
    <x v="22"/>
    <x v="1"/>
    <s v="Master's"/>
    <s v="San Jose"/>
    <x v="1"/>
    <s v="Business Development Rep"/>
    <x v="0"/>
    <x v="391"/>
    <x v="1"/>
    <n v="2"/>
    <n v="20"/>
    <x v="0"/>
    <x v="4"/>
    <x v="4"/>
    <x v="0"/>
    <n v="0"/>
    <n v="55"/>
    <n v="64899"/>
    <n v="6400"/>
    <n v="6.5"/>
    <x v="0"/>
  </r>
  <r>
    <s v="EMP1467"/>
    <s v="Mary Smith"/>
    <x v="23"/>
    <x v="1"/>
    <s v="Master's"/>
    <s v="Phoenix"/>
    <x v="2"/>
    <s v="Tech Lead"/>
    <x v="0"/>
    <x v="392"/>
    <x v="0"/>
    <n v="1"/>
    <n v="10"/>
    <x v="1"/>
    <x v="4"/>
    <x v="4"/>
    <x v="1"/>
    <n v="7"/>
    <n v="49"/>
    <n v="90321"/>
    <n v="2900"/>
    <n v="4.7"/>
    <x v="0"/>
  </r>
  <r>
    <s v="EMP1468"/>
    <s v="Mark Johnson"/>
    <x v="0"/>
    <x v="2"/>
    <s v="Master's"/>
    <s v="San Antonio"/>
    <x v="0"/>
    <s v="Controller"/>
    <x v="0"/>
    <x v="393"/>
    <x v="0"/>
    <n v="1"/>
    <n v="10"/>
    <x v="3"/>
    <x v="3"/>
    <x v="4"/>
    <x v="0"/>
    <n v="2"/>
    <n v="38"/>
    <n v="99493"/>
    <n v="7800"/>
    <n v="4.7"/>
    <x v="0"/>
  </r>
  <r>
    <s v="EMP1469"/>
    <s v="Susan Gonzalez"/>
    <x v="13"/>
    <x v="1"/>
    <s v="Master's"/>
    <s v="New York"/>
    <x v="0"/>
    <s v="Controller"/>
    <x v="1"/>
    <x v="394"/>
    <x v="2"/>
    <n v="0"/>
    <n v="17"/>
    <x v="1"/>
    <x v="1"/>
    <x v="2"/>
    <x v="1"/>
    <n v="2"/>
    <n v="17"/>
    <n v="88018"/>
    <n v="2900"/>
    <n v="8.6"/>
    <x v="0"/>
  </r>
  <r>
    <s v="EMP1470"/>
    <s v="Karen Rodriguez"/>
    <x v="25"/>
    <x v="1"/>
    <s v="Bachelor's"/>
    <s v="New York"/>
    <x v="1"/>
    <s v="Account Manager"/>
    <x v="0"/>
    <x v="395"/>
    <x v="0"/>
    <n v="1"/>
    <n v="18"/>
    <x v="2"/>
    <x v="3"/>
    <x v="1"/>
    <x v="1"/>
    <n v="10"/>
    <n v="76"/>
    <n v="70733"/>
    <n v="15100"/>
    <n v="8.6"/>
    <x v="0"/>
  </r>
  <r>
    <s v="EMP1471"/>
    <s v="Karen Davis"/>
    <x v="17"/>
    <x v="1"/>
    <s v="Master's"/>
    <s v="Chicago"/>
    <x v="2"/>
    <s v="Software Engineer"/>
    <x v="0"/>
    <x v="339"/>
    <x v="0"/>
    <n v="1"/>
    <n v="19"/>
    <x v="3"/>
    <x v="3"/>
    <x v="1"/>
    <x v="0"/>
    <n v="15"/>
    <n v="79"/>
    <n v="76949"/>
    <n v="5400"/>
    <n v="9.6999999999999993"/>
    <x v="0"/>
  </r>
  <r>
    <s v="EMP1472"/>
    <s v="James Williams"/>
    <x v="14"/>
    <x v="2"/>
    <s v="Bachelor's"/>
    <s v="Chicago"/>
    <x v="5"/>
    <s v="Marketing Manager"/>
    <x v="2"/>
    <x v="306"/>
    <x v="3"/>
    <n v="3"/>
    <n v="8"/>
    <x v="3"/>
    <x v="2"/>
    <x v="4"/>
    <x v="1"/>
    <n v="19"/>
    <n v="56"/>
    <n v="46615"/>
    <n v="3200"/>
    <n v="3.7"/>
    <x v="0"/>
  </r>
  <r>
    <s v="EMP1473"/>
    <s v="Christopher Smith"/>
    <x v="2"/>
    <x v="2"/>
    <s v="Master's"/>
    <s v="Phoenix"/>
    <x v="2"/>
    <s v="Software Engineer"/>
    <x v="0"/>
    <x v="319"/>
    <x v="1"/>
    <n v="2"/>
    <n v="8"/>
    <x v="0"/>
    <x v="1"/>
    <x v="2"/>
    <x v="1"/>
    <n v="13"/>
    <n v="54"/>
    <n v="96260"/>
    <n v="10600"/>
    <n v="11"/>
    <x v="0"/>
  </r>
  <r>
    <s v="EMP1474"/>
    <s v="Joseph Johnson"/>
    <x v="2"/>
    <x v="2"/>
    <s v="Master's"/>
    <s v="Phoenix"/>
    <x v="2"/>
    <s v="Senior Engineer"/>
    <x v="0"/>
    <x v="396"/>
    <x v="2"/>
    <n v="0"/>
    <n v="10"/>
    <x v="2"/>
    <x v="0"/>
    <x v="4"/>
    <x v="1"/>
    <n v="16"/>
    <n v="64"/>
    <n v="128258"/>
    <n v="29800"/>
    <n v="14.6"/>
    <x v="0"/>
  </r>
  <r>
    <s v="EMP1475"/>
    <s v="Daniel Rodriguez"/>
    <x v="21"/>
    <x v="2"/>
    <s v="Bachelor's"/>
    <s v="San Antonio"/>
    <x v="2"/>
    <s v="Senior Engineer"/>
    <x v="0"/>
    <x v="397"/>
    <x v="2"/>
    <n v="0"/>
    <n v="6"/>
    <x v="0"/>
    <x v="4"/>
    <x v="2"/>
    <x v="1"/>
    <n v="15"/>
    <n v="77"/>
    <n v="114471"/>
    <n v="15700"/>
    <n v="4.7"/>
    <x v="0"/>
  </r>
  <r>
    <s v="EMP1476"/>
    <s v="Sandra Rodriguez"/>
    <x v="7"/>
    <x v="1"/>
    <s v="Master's"/>
    <s v="Los Angeles"/>
    <x v="4"/>
    <s v="Support Lead"/>
    <x v="0"/>
    <x v="398"/>
    <x v="0"/>
    <n v="1"/>
    <n v="11"/>
    <x v="0"/>
    <x v="4"/>
    <x v="4"/>
    <x v="0"/>
    <n v="24"/>
    <n v="29"/>
    <n v="62193"/>
    <n v="6100"/>
    <n v="13.2"/>
    <x v="0"/>
  </r>
  <r>
    <s v="EMP1477"/>
    <s v="Mark Williams"/>
    <x v="16"/>
    <x v="2"/>
    <s v="Bachelor's"/>
    <s v="Los Angeles"/>
    <x v="6"/>
    <s v="HR Manager"/>
    <x v="0"/>
    <x v="399"/>
    <x v="2"/>
    <n v="0"/>
    <n v="2"/>
    <x v="0"/>
    <x v="4"/>
    <x v="3"/>
    <x v="0"/>
    <n v="20"/>
    <n v="73"/>
    <n v="44776"/>
    <n v="5100"/>
    <n v="10.6"/>
    <x v="1"/>
  </r>
  <r>
    <s v="EMP1478"/>
    <s v="Joseph Davis"/>
    <x v="0"/>
    <x v="2"/>
    <s v="PhD"/>
    <s v="New York"/>
    <x v="0"/>
    <s v="Finance Manager"/>
    <x v="2"/>
    <x v="400"/>
    <x v="0"/>
    <n v="1"/>
    <n v="6"/>
    <x v="3"/>
    <x v="1"/>
    <x v="4"/>
    <x v="0"/>
    <n v="24"/>
    <n v="52"/>
    <n v="107997"/>
    <n v="6300"/>
    <n v="3.3"/>
    <x v="0"/>
  </r>
  <r>
    <s v="EMP1479"/>
    <s v="Christopher Lopez"/>
    <x v="6"/>
    <x v="2"/>
    <s v="Master's"/>
    <s v="San Antonio"/>
    <x v="4"/>
    <s v="Support Executive"/>
    <x v="2"/>
    <x v="401"/>
    <x v="2"/>
    <n v="0"/>
    <n v="7"/>
    <x v="0"/>
    <x v="2"/>
    <x v="1"/>
    <x v="1"/>
    <n v="4"/>
    <n v="66"/>
    <n v="46681"/>
    <n v="5700"/>
    <n v="4.7"/>
    <x v="1"/>
  </r>
  <r>
    <s v="EMP1480"/>
    <s v="Joseph Brown"/>
    <x v="14"/>
    <x v="2"/>
    <s v="Bachelor's"/>
    <s v="Phoenix"/>
    <x v="3"/>
    <s v="Supply Chain Analyst"/>
    <x v="0"/>
    <x v="402"/>
    <x v="3"/>
    <n v="3"/>
    <n v="11"/>
    <x v="1"/>
    <x v="2"/>
    <x v="3"/>
    <x v="1"/>
    <n v="16"/>
    <n v="78"/>
    <n v="63998"/>
    <n v="1700"/>
    <n v="11.4"/>
    <x v="1"/>
  </r>
  <r>
    <s v="EMP1481"/>
    <s v="James Rodriguez"/>
    <x v="8"/>
    <x v="2"/>
    <s v="Bachelor's"/>
    <s v="Philadelphia"/>
    <x v="2"/>
    <s v="Tech Lead"/>
    <x v="1"/>
    <x v="403"/>
    <x v="3"/>
    <n v="3"/>
    <n v="9"/>
    <x v="0"/>
    <x v="1"/>
    <x v="3"/>
    <x v="1"/>
    <n v="15"/>
    <n v="9"/>
    <n v="125234"/>
    <n v="14000"/>
    <n v="12.2"/>
    <x v="0"/>
  </r>
  <r>
    <s v="EMP1482"/>
    <s v="John Miller"/>
    <x v="8"/>
    <x v="2"/>
    <s v="Master's"/>
    <s v="Houston"/>
    <x v="1"/>
    <s v="Sales Executive"/>
    <x v="0"/>
    <x v="404"/>
    <x v="3"/>
    <n v="3"/>
    <n v="5"/>
    <x v="2"/>
    <x v="1"/>
    <x v="1"/>
    <x v="1"/>
    <n v="24"/>
    <n v="25"/>
    <n v="51819"/>
    <n v="10400"/>
    <n v="10.8"/>
    <x v="0"/>
  </r>
  <r>
    <s v="EMP1483"/>
    <s v="Nancy Smith"/>
    <x v="10"/>
    <x v="1"/>
    <s v="Bachelor's"/>
    <s v="Philadelphia"/>
    <x v="2"/>
    <s v="DevOps Engineer"/>
    <x v="0"/>
    <x v="405"/>
    <x v="2"/>
    <n v="0"/>
    <n v="13"/>
    <x v="0"/>
    <x v="4"/>
    <x v="1"/>
    <x v="1"/>
    <n v="7"/>
    <n v="29"/>
    <n v="125945"/>
    <n v="12800"/>
    <n v="4.4000000000000004"/>
    <x v="0"/>
  </r>
  <r>
    <s v="EMP1484"/>
    <s v="Linda Miller"/>
    <x v="21"/>
    <x v="1"/>
    <s v="Bachelor's"/>
    <s v="Phoenix"/>
    <x v="3"/>
    <s v="Operations Analyst"/>
    <x v="0"/>
    <x v="71"/>
    <x v="3"/>
    <n v="3"/>
    <n v="8"/>
    <x v="0"/>
    <x v="4"/>
    <x v="2"/>
    <x v="1"/>
    <n v="21"/>
    <n v="15"/>
    <n v="53304"/>
    <n v="5800"/>
    <n v="6.8"/>
    <x v="0"/>
  </r>
  <r>
    <s v="EMP1485"/>
    <s v="Thomas Brown"/>
    <x v="10"/>
    <x v="2"/>
    <s v="Bachelor's"/>
    <s v="Dallas"/>
    <x v="4"/>
    <s v="Support Executive"/>
    <x v="0"/>
    <x v="406"/>
    <x v="2"/>
    <n v="0"/>
    <n v="12"/>
    <x v="1"/>
    <x v="1"/>
    <x v="4"/>
    <x v="0"/>
    <n v="13"/>
    <n v="79"/>
    <n v="44919"/>
    <n v="1500"/>
    <n v="6.5"/>
    <x v="0"/>
  </r>
  <r>
    <s v="EMP1486"/>
    <s v="Michael Anderson"/>
    <x v="23"/>
    <x v="2"/>
    <s v="Bachelor's"/>
    <s v="San Diego"/>
    <x v="7"/>
    <s v="Systems Administrator"/>
    <x v="1"/>
    <x v="249"/>
    <x v="1"/>
    <n v="2"/>
    <n v="10"/>
    <x v="3"/>
    <x v="1"/>
    <x v="2"/>
    <x v="1"/>
    <n v="1"/>
    <n v="34"/>
    <n v="79404"/>
    <n v="6200"/>
    <n v="3.4"/>
    <x v="0"/>
  </r>
  <r>
    <s v="EMP1487"/>
    <s v="Barbara Wilson"/>
    <x v="19"/>
    <x v="1"/>
    <s v="Master's"/>
    <s v="New York"/>
    <x v="2"/>
    <s v="Tech Lead"/>
    <x v="0"/>
    <x v="21"/>
    <x v="3"/>
    <n v="3"/>
    <n v="20"/>
    <x v="0"/>
    <x v="1"/>
    <x v="0"/>
    <x v="1"/>
    <n v="24"/>
    <n v="44"/>
    <n v="120146"/>
    <n v="11800"/>
    <n v="5.5"/>
    <x v="0"/>
  </r>
  <r>
    <s v="EMP1488"/>
    <s v="Betty Anderson"/>
    <x v="25"/>
    <x v="1"/>
    <s v="PhD"/>
    <s v="New York"/>
    <x v="3"/>
    <s v="Operations Analyst"/>
    <x v="2"/>
    <x v="407"/>
    <x v="0"/>
    <n v="1"/>
    <n v="19"/>
    <x v="3"/>
    <x v="2"/>
    <x v="2"/>
    <x v="1"/>
    <n v="23"/>
    <n v="36"/>
    <n v="67344"/>
    <n v="4900"/>
    <n v="13.4"/>
    <x v="0"/>
  </r>
  <r>
    <s v="EMP1489"/>
    <s v="Daniel Martinez"/>
    <x v="23"/>
    <x v="2"/>
    <s v="Bachelor's"/>
    <s v="Phoenix"/>
    <x v="5"/>
    <s v="SEO Specialist"/>
    <x v="0"/>
    <x v="408"/>
    <x v="0"/>
    <n v="1"/>
    <n v="15"/>
    <x v="0"/>
    <x v="4"/>
    <x v="1"/>
    <x v="1"/>
    <n v="19"/>
    <n v="35"/>
    <n v="45995"/>
    <n v="5900"/>
    <n v="6.3"/>
    <x v="0"/>
  </r>
  <r>
    <s v="EMP1490"/>
    <s v="William Gonzalez"/>
    <x v="13"/>
    <x v="2"/>
    <s v="PhD"/>
    <s v="Dallas"/>
    <x v="6"/>
    <s v="Recruiter"/>
    <x v="0"/>
    <x v="247"/>
    <x v="3"/>
    <n v="3"/>
    <n v="19"/>
    <x v="0"/>
    <x v="1"/>
    <x v="0"/>
    <x v="1"/>
    <n v="2"/>
    <n v="35"/>
    <n v="51716"/>
    <n v="5000"/>
    <n v="3.1"/>
    <x v="1"/>
  </r>
  <r>
    <s v="EMP1491"/>
    <s v="Jessica Williams"/>
    <x v="23"/>
    <x v="1"/>
    <s v="Bachelor's"/>
    <s v="Dallas"/>
    <x v="2"/>
    <s v="Tech Lead"/>
    <x v="2"/>
    <x v="409"/>
    <x v="0"/>
    <n v="1"/>
    <n v="16"/>
    <x v="2"/>
    <x v="2"/>
    <x v="4"/>
    <x v="0"/>
    <n v="1"/>
    <n v="70"/>
    <n v="92871"/>
    <n v="19500"/>
    <n v="3.6"/>
    <x v="0"/>
  </r>
  <r>
    <s v="EMP1492"/>
    <s v="Daniel Jones"/>
    <x v="12"/>
    <x v="2"/>
    <s v="Master's"/>
    <s v="Philadelphia"/>
    <x v="2"/>
    <s v="Senior Engineer"/>
    <x v="0"/>
    <x v="410"/>
    <x v="0"/>
    <n v="1"/>
    <n v="12"/>
    <x v="0"/>
    <x v="4"/>
    <x v="1"/>
    <x v="0"/>
    <n v="20"/>
    <n v="54"/>
    <n v="100762"/>
    <n v="10000"/>
    <n v="8.3000000000000007"/>
    <x v="0"/>
  </r>
  <r>
    <s v="EMP1493"/>
    <s v="David Martinez"/>
    <x v="5"/>
    <x v="2"/>
    <s v="Diploma"/>
    <s v="New York"/>
    <x v="2"/>
    <s v="Tech Lead"/>
    <x v="0"/>
    <x v="411"/>
    <x v="0"/>
    <n v="1"/>
    <n v="12"/>
    <x v="0"/>
    <x v="0"/>
    <x v="4"/>
    <x v="1"/>
    <n v="16"/>
    <n v="65"/>
    <n v="108543"/>
    <n v="11300"/>
    <n v="3.5"/>
    <x v="0"/>
  </r>
  <r>
    <s v="EMP1494"/>
    <s v="Susan Wilson"/>
    <x v="14"/>
    <x v="1"/>
    <s v="PhD"/>
    <s v="San Jose"/>
    <x v="1"/>
    <s v="Account Manager"/>
    <x v="0"/>
    <x v="412"/>
    <x v="3"/>
    <n v="3"/>
    <n v="5"/>
    <x v="2"/>
    <x v="4"/>
    <x v="0"/>
    <x v="1"/>
    <n v="23"/>
    <n v="15"/>
    <n v="87546"/>
    <n v="14500"/>
    <n v="14.2"/>
    <x v="0"/>
  </r>
  <r>
    <s v="EMP1495"/>
    <s v="Lisa Rodriguez"/>
    <x v="14"/>
    <x v="1"/>
    <s v="Diploma"/>
    <s v="Los Angeles"/>
    <x v="2"/>
    <s v="Software Engineer"/>
    <x v="0"/>
    <x v="23"/>
    <x v="2"/>
    <n v="0"/>
    <n v="7"/>
    <x v="0"/>
    <x v="4"/>
    <x v="2"/>
    <x v="1"/>
    <n v="11"/>
    <n v="10"/>
    <n v="113081"/>
    <n v="15000"/>
    <n v="7.3"/>
    <x v="0"/>
  </r>
  <r>
    <s v="EMP1496"/>
    <s v="Patricia Anderson"/>
    <x v="11"/>
    <x v="1"/>
    <s v="Bachelor's"/>
    <s v="San Antonio"/>
    <x v="0"/>
    <s v="Accountant"/>
    <x v="0"/>
    <x v="388"/>
    <x v="0"/>
    <n v="1"/>
    <n v="20"/>
    <x v="0"/>
    <x v="0"/>
    <x v="0"/>
    <x v="0"/>
    <n v="8"/>
    <n v="36"/>
    <n v="82449"/>
    <n v="11200"/>
    <n v="14.8"/>
    <x v="0"/>
  </r>
  <r>
    <s v="EMP1497"/>
    <s v="John Miller"/>
    <x v="19"/>
    <x v="2"/>
    <s v="Master's"/>
    <s v="Dallas"/>
    <x v="2"/>
    <s v="Tech Lead"/>
    <x v="0"/>
    <x v="30"/>
    <x v="2"/>
    <n v="0"/>
    <n v="19"/>
    <x v="3"/>
    <x v="4"/>
    <x v="1"/>
    <x v="0"/>
    <n v="4"/>
    <n v="4"/>
    <n v="95965"/>
    <n v="7700"/>
    <n v="3.2"/>
    <x v="0"/>
  </r>
  <r>
    <s v="EMP1498"/>
    <s v="Robert Johnson"/>
    <x v="11"/>
    <x v="2"/>
    <s v="Diploma"/>
    <s v="Philadelphia"/>
    <x v="1"/>
    <s v="Business Development Rep"/>
    <x v="0"/>
    <x v="413"/>
    <x v="1"/>
    <n v="2"/>
    <n v="17"/>
    <x v="2"/>
    <x v="2"/>
    <x v="1"/>
    <x v="1"/>
    <n v="23"/>
    <n v="5"/>
    <n v="68223"/>
    <n v="14700"/>
    <n v="5.9"/>
    <x v="0"/>
  </r>
  <r>
    <s v="EMP1499"/>
    <s v="Elizabeth Davis"/>
    <x v="23"/>
    <x v="1"/>
    <s v="PhD"/>
    <s v="Chicago"/>
    <x v="5"/>
    <s v="Marketing Analyst"/>
    <x v="2"/>
    <x v="362"/>
    <x v="2"/>
    <n v="0"/>
    <n v="14"/>
    <x v="3"/>
    <x v="2"/>
    <x v="0"/>
    <x v="1"/>
    <n v="11"/>
    <n v="58"/>
    <n v="53821"/>
    <n v="4100"/>
    <n v="10.1"/>
    <x v="0"/>
  </r>
  <r>
    <s v="EMP1500"/>
    <s v="Robert Rodriguez"/>
    <x v="20"/>
    <x v="2"/>
    <s v="Bachelor's"/>
    <s v="San Antonio"/>
    <x v="1"/>
    <s v="Business Development Rep"/>
    <x v="0"/>
    <x v="414"/>
    <x v="0"/>
    <n v="1"/>
    <n v="10"/>
    <x v="0"/>
    <x v="0"/>
    <x v="3"/>
    <x v="0"/>
    <n v="1"/>
    <n v="26"/>
    <n v="81970"/>
    <n v="9900"/>
    <n v="9.1"/>
    <x v="0"/>
  </r>
  <r>
    <s v="EMP1501"/>
    <s v="Charles Anderson"/>
    <x v="0"/>
    <x v="2"/>
    <s v="Bachelor's"/>
    <s v="San Jose"/>
    <x v="6"/>
    <s v="L&amp;D Specialist"/>
    <x v="0"/>
    <x v="415"/>
    <x v="0"/>
    <n v="1"/>
    <n v="10"/>
    <x v="0"/>
    <x v="0"/>
    <x v="4"/>
    <x v="0"/>
    <n v="4"/>
    <n v="12"/>
    <n v="57946"/>
    <n v="6200"/>
    <n v="5"/>
    <x v="0"/>
  </r>
  <r>
    <s v="EMP1502"/>
    <s v="Sarah Gonzalez"/>
    <x v="2"/>
    <x v="1"/>
    <s v="Master's"/>
    <s v="San Jose"/>
    <x v="1"/>
    <s v="Sales Manager"/>
    <x v="0"/>
    <x v="416"/>
    <x v="1"/>
    <n v="2"/>
    <n v="2"/>
    <x v="2"/>
    <x v="4"/>
    <x v="0"/>
    <x v="1"/>
    <n v="4"/>
    <n v="58"/>
    <n v="57788"/>
    <n v="13100"/>
    <n v="3.3"/>
    <x v="0"/>
  </r>
  <r>
    <s v="EMP1503"/>
    <s v="Nancy Lopez"/>
    <x v="12"/>
    <x v="1"/>
    <s v="Bachelor's"/>
    <s v="Houston"/>
    <x v="2"/>
    <s v="Tech Lead"/>
    <x v="0"/>
    <x v="417"/>
    <x v="3"/>
    <n v="3"/>
    <n v="16"/>
    <x v="1"/>
    <x v="3"/>
    <x v="3"/>
    <x v="0"/>
    <n v="16"/>
    <n v="42"/>
    <n v="87933"/>
    <n v="2900"/>
    <n v="4.4000000000000004"/>
    <x v="1"/>
  </r>
  <r>
    <s v="EMP1504"/>
    <s v="Daniel Rodriguez"/>
    <x v="14"/>
    <x v="2"/>
    <s v="Bachelor's"/>
    <s v="New York"/>
    <x v="6"/>
    <s v="Recruiter"/>
    <x v="0"/>
    <x v="418"/>
    <x v="3"/>
    <n v="3"/>
    <n v="11"/>
    <x v="0"/>
    <x v="2"/>
    <x v="2"/>
    <x v="0"/>
    <n v="7"/>
    <n v="25"/>
    <n v="74163"/>
    <n v="10100"/>
    <n v="10.9"/>
    <x v="0"/>
  </r>
  <r>
    <s v="EMP1505"/>
    <s v="Joseph Wilson"/>
    <x v="0"/>
    <x v="2"/>
    <s v="Bachelor's"/>
    <s v="Dallas"/>
    <x v="1"/>
    <s v="Account Manager"/>
    <x v="0"/>
    <x v="419"/>
    <x v="1"/>
    <n v="2"/>
    <n v="10"/>
    <x v="1"/>
    <x v="0"/>
    <x v="1"/>
    <x v="0"/>
    <n v="13"/>
    <n v="33"/>
    <n v="50813"/>
    <n v="1700"/>
    <n v="12"/>
    <x v="1"/>
  </r>
  <r>
    <s v="EMP1506"/>
    <s v="Linda Hernandez"/>
    <x v="2"/>
    <x v="1"/>
    <s v="PhD"/>
    <s v="Phoenix"/>
    <x v="0"/>
    <s v="Controller"/>
    <x v="0"/>
    <x v="420"/>
    <x v="0"/>
    <n v="1"/>
    <n v="6"/>
    <x v="3"/>
    <x v="1"/>
    <x v="4"/>
    <x v="1"/>
    <n v="13"/>
    <n v="57"/>
    <n v="74144"/>
    <n v="5200"/>
    <n v="10.6"/>
    <x v="0"/>
  </r>
  <r>
    <s v="EMP1507"/>
    <s v="Richard Johnson"/>
    <x v="8"/>
    <x v="2"/>
    <s v="Master's"/>
    <s v="Houston"/>
    <x v="1"/>
    <s v="Account Manager"/>
    <x v="0"/>
    <x v="421"/>
    <x v="1"/>
    <n v="2"/>
    <n v="4"/>
    <x v="2"/>
    <x v="3"/>
    <x v="0"/>
    <x v="1"/>
    <n v="6"/>
    <n v="52"/>
    <n v="91191"/>
    <n v="21000"/>
    <n v="13.1"/>
    <x v="0"/>
  </r>
  <r>
    <s v="EMP1508"/>
    <s v="Elizabeth Jones"/>
    <x v="4"/>
    <x v="1"/>
    <s v="Bachelor's"/>
    <s v="San Antonio"/>
    <x v="5"/>
    <s v="Marketing Analyst"/>
    <x v="0"/>
    <x v="313"/>
    <x v="0"/>
    <n v="1"/>
    <n v="15"/>
    <x v="0"/>
    <x v="0"/>
    <x v="0"/>
    <x v="1"/>
    <n v="6"/>
    <n v="80"/>
    <n v="48580"/>
    <n v="6400"/>
    <n v="7.1"/>
    <x v="0"/>
  </r>
  <r>
    <s v="EMP1509"/>
    <s v="Karen Martinez"/>
    <x v="23"/>
    <x v="1"/>
    <s v="High School"/>
    <s v="Dallas"/>
    <x v="1"/>
    <s v="Sales Executive"/>
    <x v="0"/>
    <x v="395"/>
    <x v="0"/>
    <n v="1"/>
    <n v="18"/>
    <x v="3"/>
    <x v="1"/>
    <x v="0"/>
    <x v="1"/>
    <n v="6"/>
    <n v="46"/>
    <n v="46383"/>
    <n v="2700"/>
    <n v="11.5"/>
    <x v="0"/>
  </r>
  <r>
    <s v="EMP1510"/>
    <s v="Quinn Miller"/>
    <x v="14"/>
    <x v="0"/>
    <s v="Bachelor's"/>
    <s v="Dallas"/>
    <x v="2"/>
    <s v="Senior Engineer"/>
    <x v="0"/>
    <x v="422"/>
    <x v="1"/>
    <n v="2"/>
    <n v="6"/>
    <x v="0"/>
    <x v="4"/>
    <x v="2"/>
    <x v="1"/>
    <n v="1"/>
    <n v="20"/>
    <n v="98261"/>
    <n v="10600"/>
    <n v="3.2"/>
    <x v="0"/>
  </r>
  <r>
    <s v="EMP1511"/>
    <s v="Michael Hernandez"/>
    <x v="2"/>
    <x v="2"/>
    <s v="Master's"/>
    <s v="San Antonio"/>
    <x v="2"/>
    <s v="Tech Lead"/>
    <x v="0"/>
    <x v="55"/>
    <x v="1"/>
    <n v="2"/>
    <n v="4"/>
    <x v="3"/>
    <x v="2"/>
    <x v="0"/>
    <x v="1"/>
    <n v="4"/>
    <n v="12"/>
    <n v="87195"/>
    <n v="7000"/>
    <n v="13.3"/>
    <x v="1"/>
  </r>
  <r>
    <s v="EMP1512"/>
    <s v="Charles Wilson"/>
    <x v="20"/>
    <x v="2"/>
    <s v="Bachelor's"/>
    <s v="Los Angeles"/>
    <x v="2"/>
    <s v="DevOps Engineer"/>
    <x v="0"/>
    <x v="411"/>
    <x v="0"/>
    <n v="1"/>
    <n v="17"/>
    <x v="0"/>
    <x v="4"/>
    <x v="0"/>
    <x v="0"/>
    <n v="8"/>
    <n v="61"/>
    <n v="130149"/>
    <n v="14100"/>
    <n v="10.9"/>
    <x v="0"/>
  </r>
  <r>
    <s v="EMP1513"/>
    <s v="Sarah Rodriguez"/>
    <x v="25"/>
    <x v="1"/>
    <s v="High School"/>
    <s v="San Diego"/>
    <x v="3"/>
    <s v="Supply Chain Analyst"/>
    <x v="0"/>
    <x v="423"/>
    <x v="1"/>
    <n v="2"/>
    <n v="16"/>
    <x v="3"/>
    <x v="2"/>
    <x v="1"/>
    <x v="1"/>
    <n v="20"/>
    <n v="39"/>
    <n v="80820"/>
    <n v="5500"/>
    <n v="9.9"/>
    <x v="1"/>
  </r>
  <r>
    <s v="EMP1514"/>
    <s v="Christopher Johnson"/>
    <x v="6"/>
    <x v="2"/>
    <s v="Master's"/>
    <s v="Houston"/>
    <x v="2"/>
    <s v="Tech Lead"/>
    <x v="0"/>
    <x v="424"/>
    <x v="3"/>
    <n v="3"/>
    <n v="7"/>
    <x v="2"/>
    <x v="4"/>
    <x v="4"/>
    <x v="1"/>
    <n v="13"/>
    <n v="39"/>
    <n v="80995"/>
    <n v="17000"/>
    <n v="8.6999999999999993"/>
    <x v="0"/>
  </r>
  <r>
    <s v="EMP1515"/>
    <s v="Mary Garcia"/>
    <x v="10"/>
    <x v="1"/>
    <s v="PhD"/>
    <s v="Dallas"/>
    <x v="3"/>
    <s v="Supply Chain Analyst"/>
    <x v="2"/>
    <x v="425"/>
    <x v="2"/>
    <n v="0"/>
    <n v="7"/>
    <x v="0"/>
    <x v="1"/>
    <x v="1"/>
    <x v="1"/>
    <n v="13"/>
    <n v="9"/>
    <n v="80755"/>
    <n v="11500"/>
    <n v="5.8"/>
    <x v="0"/>
  </r>
  <r>
    <s v="EMP1516"/>
    <s v="James Williams"/>
    <x v="7"/>
    <x v="2"/>
    <s v="Bachelor's"/>
    <s v="San Antonio"/>
    <x v="3"/>
    <s v="Logistics Coordinator"/>
    <x v="0"/>
    <x v="426"/>
    <x v="3"/>
    <n v="3"/>
    <n v="15"/>
    <x v="0"/>
    <x v="3"/>
    <x v="1"/>
    <x v="1"/>
    <n v="13"/>
    <n v="37"/>
    <n v="72799"/>
    <n v="9200"/>
    <n v="9.3000000000000007"/>
    <x v="0"/>
  </r>
  <r>
    <s v="EMP1517"/>
    <s v="Karen Anderson"/>
    <x v="21"/>
    <x v="1"/>
    <s v="Bachelor's"/>
    <s v="Houston"/>
    <x v="2"/>
    <s v="Tech Lead"/>
    <x v="1"/>
    <x v="427"/>
    <x v="0"/>
    <n v="1"/>
    <n v="6"/>
    <x v="3"/>
    <x v="0"/>
    <x v="3"/>
    <x v="1"/>
    <n v="16"/>
    <n v="60"/>
    <n v="96799"/>
    <n v="8000"/>
    <n v="7.5"/>
    <x v="0"/>
  </r>
  <r>
    <s v="EMP1518"/>
    <s v="Robert Williams"/>
    <x v="3"/>
    <x v="2"/>
    <s v="Bachelor's"/>
    <s v="Philadelphia"/>
    <x v="1"/>
    <s v="Sales Executive"/>
    <x v="0"/>
    <x v="85"/>
    <x v="2"/>
    <n v="0"/>
    <n v="10"/>
    <x v="0"/>
    <x v="0"/>
    <x v="4"/>
    <x v="0"/>
    <n v="20"/>
    <n v="1"/>
    <n v="51150"/>
    <n v="5700"/>
    <n v="3.7"/>
    <x v="0"/>
  </r>
  <r>
    <s v="EMP1519"/>
    <s v="Anthony Anderson"/>
    <x v="10"/>
    <x v="2"/>
    <s v="Master's"/>
    <s v="Los Angeles"/>
    <x v="1"/>
    <s v="Sales Manager"/>
    <x v="0"/>
    <x v="76"/>
    <x v="2"/>
    <n v="0"/>
    <n v="10"/>
    <x v="1"/>
    <x v="3"/>
    <x v="3"/>
    <x v="1"/>
    <n v="8"/>
    <n v="72"/>
    <n v="71428"/>
    <n v="2200"/>
    <n v="10.7"/>
    <x v="1"/>
  </r>
  <r>
    <s v="EMP1520"/>
    <s v="Thomas Martinez"/>
    <x v="11"/>
    <x v="2"/>
    <s v="High School"/>
    <s v="Los Angeles"/>
    <x v="5"/>
    <s v="Marketing Analyst"/>
    <x v="1"/>
    <x v="428"/>
    <x v="2"/>
    <n v="0"/>
    <n v="19"/>
    <x v="3"/>
    <x v="2"/>
    <x v="3"/>
    <x v="1"/>
    <n v="4"/>
    <n v="21"/>
    <n v="85362"/>
    <n v="5900"/>
    <n v="5"/>
    <x v="0"/>
  </r>
  <r>
    <s v="EMP1521"/>
    <s v="Elizabeth Johnson"/>
    <x v="4"/>
    <x v="1"/>
    <s v="Master's"/>
    <s v="San Diego"/>
    <x v="7"/>
    <s v="Systems Administrator"/>
    <x v="0"/>
    <x v="429"/>
    <x v="3"/>
    <n v="3"/>
    <n v="15"/>
    <x v="0"/>
    <x v="2"/>
    <x v="4"/>
    <x v="1"/>
    <n v="16"/>
    <n v="10"/>
    <n v="76436"/>
    <n v="10100"/>
    <n v="5.9"/>
    <x v="0"/>
  </r>
  <r>
    <s v="EMP1522"/>
    <s v="Lisa Wilson"/>
    <x v="25"/>
    <x v="1"/>
    <s v="Bachelor's"/>
    <s v="Philadelphia"/>
    <x v="2"/>
    <s v="Senior Engineer"/>
    <x v="2"/>
    <x v="430"/>
    <x v="0"/>
    <n v="1"/>
    <n v="14"/>
    <x v="3"/>
    <x v="3"/>
    <x v="2"/>
    <x v="0"/>
    <n v="6"/>
    <n v="78"/>
    <n v="102838"/>
    <n v="7400"/>
    <n v="8.1999999999999993"/>
    <x v="0"/>
  </r>
  <r>
    <s v="EMP1523"/>
    <s v="Robert Anderson"/>
    <x v="12"/>
    <x v="2"/>
    <s v="Bachelor's"/>
    <s v="San Jose"/>
    <x v="0"/>
    <s v="Finance Manager"/>
    <x v="0"/>
    <x v="234"/>
    <x v="3"/>
    <n v="3"/>
    <n v="12"/>
    <x v="0"/>
    <x v="3"/>
    <x v="2"/>
    <x v="1"/>
    <n v="12"/>
    <n v="5"/>
    <n v="93416"/>
    <n v="9400"/>
    <n v="7.4"/>
    <x v="0"/>
  </r>
  <r>
    <s v="EMP1524"/>
    <s v="James Martinez"/>
    <x v="17"/>
    <x v="2"/>
    <s v="Master's"/>
    <s v="San Jose"/>
    <x v="3"/>
    <s v="Supply Chain Analyst"/>
    <x v="2"/>
    <x v="168"/>
    <x v="3"/>
    <n v="3"/>
    <n v="20"/>
    <x v="3"/>
    <x v="0"/>
    <x v="3"/>
    <x v="1"/>
    <n v="4"/>
    <n v="10"/>
    <n v="76027"/>
    <n v="5600"/>
    <n v="9.5"/>
    <x v="0"/>
  </r>
  <r>
    <s v="EMP1525"/>
    <s v="Patricia Smith"/>
    <x v="15"/>
    <x v="1"/>
    <s v="Bachelor's"/>
    <s v="Philadelphia"/>
    <x v="0"/>
    <s v="Controller"/>
    <x v="2"/>
    <x v="431"/>
    <x v="2"/>
    <n v="0"/>
    <n v="2"/>
    <x v="0"/>
    <x v="0"/>
    <x v="0"/>
    <x v="1"/>
    <n v="23"/>
    <n v="46"/>
    <n v="90657"/>
    <n v="12400"/>
    <n v="10.9"/>
    <x v="0"/>
  </r>
  <r>
    <s v="EMP1526"/>
    <s v="Susan Miller"/>
    <x v="5"/>
    <x v="1"/>
    <s v="Master's"/>
    <s v="New York"/>
    <x v="3"/>
    <s v="Operations Analyst"/>
    <x v="0"/>
    <x v="363"/>
    <x v="3"/>
    <n v="3"/>
    <n v="17"/>
    <x v="2"/>
    <x v="2"/>
    <x v="4"/>
    <x v="1"/>
    <n v="3"/>
    <n v="43"/>
    <n v="50502"/>
    <n v="8300"/>
    <n v="10.3"/>
    <x v="0"/>
  </r>
  <r>
    <s v="EMP1527"/>
    <s v="Nancy Johnson"/>
    <x v="1"/>
    <x v="1"/>
    <s v="Master's"/>
    <s v="Philadelphia"/>
    <x v="7"/>
    <s v="Systems Administrator"/>
    <x v="0"/>
    <x v="127"/>
    <x v="2"/>
    <n v="0"/>
    <n v="3"/>
    <x v="0"/>
    <x v="0"/>
    <x v="4"/>
    <x v="0"/>
    <n v="21"/>
    <n v="24"/>
    <n v="67167"/>
    <n v="8500"/>
    <n v="3.2"/>
    <x v="0"/>
  </r>
  <r>
    <s v="EMP1528"/>
    <s v="Richard Lopez"/>
    <x v="2"/>
    <x v="2"/>
    <s v="Bachelor's"/>
    <s v="Los Angeles"/>
    <x v="1"/>
    <s v="Sales Manager"/>
    <x v="0"/>
    <x v="432"/>
    <x v="0"/>
    <n v="1"/>
    <n v="5"/>
    <x v="0"/>
    <x v="2"/>
    <x v="4"/>
    <x v="1"/>
    <n v="11"/>
    <n v="66"/>
    <n v="57336"/>
    <n v="6100"/>
    <n v="14.8"/>
    <x v="0"/>
  </r>
  <r>
    <s v="EMP1529"/>
    <s v="Lisa Wilson"/>
    <x v="9"/>
    <x v="1"/>
    <s v="Bachelor's"/>
    <s v="Houston"/>
    <x v="1"/>
    <s v="Business Development Rep"/>
    <x v="0"/>
    <x v="433"/>
    <x v="1"/>
    <n v="2"/>
    <n v="19"/>
    <x v="0"/>
    <x v="2"/>
    <x v="0"/>
    <x v="1"/>
    <n v="23"/>
    <n v="34"/>
    <n v="82271"/>
    <n v="10700"/>
    <n v="7.2"/>
    <x v="0"/>
  </r>
  <r>
    <s v="EMP1530"/>
    <s v="Michael Jones"/>
    <x v="18"/>
    <x v="2"/>
    <s v="Master's"/>
    <s v="San Jose"/>
    <x v="1"/>
    <s v="Sales Executive"/>
    <x v="1"/>
    <x v="237"/>
    <x v="1"/>
    <n v="2"/>
    <n v="2"/>
    <x v="2"/>
    <x v="3"/>
    <x v="1"/>
    <x v="1"/>
    <n v="20"/>
    <n v="45"/>
    <n v="86360"/>
    <n v="14800"/>
    <n v="10"/>
    <x v="0"/>
  </r>
  <r>
    <s v="EMP1531"/>
    <s v="Joseph Garcia"/>
    <x v="14"/>
    <x v="2"/>
    <s v="Bachelor's"/>
    <s v="San Antonio"/>
    <x v="1"/>
    <s v="Sales Executive"/>
    <x v="0"/>
    <x v="5"/>
    <x v="0"/>
    <n v="1"/>
    <n v="6"/>
    <x v="0"/>
    <x v="4"/>
    <x v="3"/>
    <x v="1"/>
    <n v="8"/>
    <n v="47"/>
    <n v="75594"/>
    <n v="10000"/>
    <n v="8.3000000000000007"/>
    <x v="0"/>
  </r>
  <r>
    <s v="EMP1532"/>
    <s v="Richard Jones"/>
    <x v="23"/>
    <x v="2"/>
    <s v="Bachelor's"/>
    <s v="Phoenix"/>
    <x v="0"/>
    <s v="Accountant"/>
    <x v="2"/>
    <x v="434"/>
    <x v="3"/>
    <n v="3"/>
    <n v="17"/>
    <x v="0"/>
    <x v="2"/>
    <x v="3"/>
    <x v="0"/>
    <n v="18"/>
    <n v="17"/>
    <n v="105729"/>
    <n v="13100"/>
    <n v="10.1"/>
    <x v="0"/>
  </r>
  <r>
    <s v="EMP1533"/>
    <s v="Betty Smith"/>
    <x v="2"/>
    <x v="1"/>
    <s v="Master's"/>
    <s v="Chicago"/>
    <x v="6"/>
    <s v="HR Manager"/>
    <x v="0"/>
    <x v="435"/>
    <x v="3"/>
    <n v="3"/>
    <n v="5"/>
    <x v="0"/>
    <x v="0"/>
    <x v="2"/>
    <x v="1"/>
    <n v="2"/>
    <n v="31"/>
    <n v="50835"/>
    <n v="6500"/>
    <n v="5.4"/>
    <x v="0"/>
  </r>
  <r>
    <s v="EMP1534"/>
    <s v="Margaret Gonzalez"/>
    <x v="14"/>
    <x v="1"/>
    <s v="Bachelor's"/>
    <s v="Los Angeles"/>
    <x v="2"/>
    <s v="Senior Engineer"/>
    <x v="0"/>
    <x v="436"/>
    <x v="0"/>
    <n v="1"/>
    <n v="6"/>
    <x v="3"/>
    <x v="3"/>
    <x v="3"/>
    <x v="1"/>
    <n v="12"/>
    <n v="41"/>
    <n v="121648"/>
    <n v="9900"/>
    <n v="11"/>
    <x v="0"/>
  </r>
  <r>
    <s v="EMP1535"/>
    <s v="Nancy Wilson"/>
    <x v="5"/>
    <x v="1"/>
    <s v="Bachelor's"/>
    <s v="Philadelphia"/>
    <x v="0"/>
    <s v="Accountant"/>
    <x v="0"/>
    <x v="437"/>
    <x v="2"/>
    <n v="0"/>
    <n v="18"/>
    <x v="3"/>
    <x v="2"/>
    <x v="1"/>
    <x v="1"/>
    <n v="19"/>
    <n v="76"/>
    <n v="98901"/>
    <n v="7200"/>
    <n v="5.7"/>
    <x v="0"/>
  </r>
  <r>
    <s v="EMP1536"/>
    <s v="Lisa Brown"/>
    <x v="1"/>
    <x v="1"/>
    <s v="Bachelor's"/>
    <s v="San Diego"/>
    <x v="3"/>
    <s v="Logistics Coordinator"/>
    <x v="0"/>
    <x v="438"/>
    <x v="1"/>
    <n v="2"/>
    <n v="2"/>
    <x v="0"/>
    <x v="4"/>
    <x v="3"/>
    <x v="1"/>
    <n v="5"/>
    <n v="50"/>
    <n v="51085"/>
    <n v="6500"/>
    <n v="8.1"/>
    <x v="0"/>
  </r>
  <r>
    <s v="EMP1537"/>
    <s v="John Garcia"/>
    <x v="3"/>
    <x v="2"/>
    <s v="Bachelor's"/>
    <s v="San Antonio"/>
    <x v="1"/>
    <s v="Sales Executive"/>
    <x v="0"/>
    <x v="439"/>
    <x v="3"/>
    <n v="3"/>
    <n v="13"/>
    <x v="0"/>
    <x v="1"/>
    <x v="4"/>
    <x v="1"/>
    <n v="13"/>
    <n v="33"/>
    <n v="53437"/>
    <n v="6100"/>
    <n v="8.5"/>
    <x v="0"/>
  </r>
  <r>
    <s v="EMP1538"/>
    <s v="Betty Anderson"/>
    <x v="4"/>
    <x v="1"/>
    <s v="PhD"/>
    <s v="Los Angeles"/>
    <x v="6"/>
    <s v="HR Executive"/>
    <x v="0"/>
    <x v="440"/>
    <x v="2"/>
    <n v="0"/>
    <n v="16"/>
    <x v="2"/>
    <x v="3"/>
    <x v="0"/>
    <x v="1"/>
    <n v="8"/>
    <n v="25"/>
    <n v="63911"/>
    <n v="11100"/>
    <n v="8.1"/>
    <x v="0"/>
  </r>
  <r>
    <s v="EMP1539"/>
    <s v="Joseph Jones"/>
    <x v="11"/>
    <x v="2"/>
    <s v="Bachelor's"/>
    <s v="Dallas"/>
    <x v="3"/>
    <s v="Logistics Coordinator"/>
    <x v="0"/>
    <x v="441"/>
    <x v="3"/>
    <n v="3"/>
    <n v="16"/>
    <x v="3"/>
    <x v="3"/>
    <x v="4"/>
    <x v="1"/>
    <n v="13"/>
    <n v="2"/>
    <n v="84277"/>
    <n v="5300"/>
    <n v="7"/>
    <x v="0"/>
  </r>
  <r>
    <s v="EMP1540"/>
    <s v="Christopher Smith"/>
    <x v="2"/>
    <x v="2"/>
    <s v="Master's"/>
    <s v="Phoenix"/>
    <x v="1"/>
    <s v="Business Development Rep"/>
    <x v="0"/>
    <x v="442"/>
    <x v="3"/>
    <n v="3"/>
    <n v="2"/>
    <x v="2"/>
    <x v="4"/>
    <x v="0"/>
    <x v="1"/>
    <n v="7"/>
    <n v="67"/>
    <n v="61294"/>
    <n v="12400"/>
    <n v="4.5"/>
    <x v="0"/>
  </r>
  <r>
    <s v="EMP1541"/>
    <s v="David Garcia"/>
    <x v="2"/>
    <x v="2"/>
    <s v="Master's"/>
    <s v="Phoenix"/>
    <x v="3"/>
    <s v="Logistics Coordinator"/>
    <x v="0"/>
    <x v="443"/>
    <x v="3"/>
    <n v="3"/>
    <n v="4"/>
    <x v="0"/>
    <x v="1"/>
    <x v="2"/>
    <x v="0"/>
    <n v="3"/>
    <n v="24"/>
    <n v="50161"/>
    <n v="6300"/>
    <n v="6.6"/>
    <x v="0"/>
  </r>
  <r>
    <s v="EMP1542"/>
    <s v="Reese Rodriguez"/>
    <x v="15"/>
    <x v="0"/>
    <s v="Master's"/>
    <s v="New York"/>
    <x v="7"/>
    <s v="IT Manager"/>
    <x v="0"/>
    <x v="444"/>
    <x v="1"/>
    <n v="2"/>
    <n v="2"/>
    <x v="3"/>
    <x v="0"/>
    <x v="4"/>
    <x v="0"/>
    <n v="8"/>
    <n v="0"/>
    <n v="69103"/>
    <n v="4700"/>
    <n v="12"/>
    <x v="0"/>
  </r>
  <r>
    <s v="EMP1543"/>
    <s v="Matthew Miller"/>
    <x v="12"/>
    <x v="2"/>
    <s v="Bachelor's"/>
    <s v="San Diego"/>
    <x v="1"/>
    <s v="Business Development Rep"/>
    <x v="0"/>
    <x v="255"/>
    <x v="1"/>
    <n v="2"/>
    <n v="15"/>
    <x v="2"/>
    <x v="2"/>
    <x v="4"/>
    <x v="1"/>
    <n v="17"/>
    <n v="49"/>
    <n v="59734"/>
    <n v="11100"/>
    <n v="3.8"/>
    <x v="0"/>
  </r>
  <r>
    <s v="EMP1544"/>
    <s v="Mary Garcia"/>
    <x v="20"/>
    <x v="1"/>
    <s v="Master's"/>
    <s v="San Jose"/>
    <x v="1"/>
    <s v="Business Development Rep"/>
    <x v="1"/>
    <x v="445"/>
    <x v="0"/>
    <n v="1"/>
    <n v="15"/>
    <x v="0"/>
    <x v="4"/>
    <x v="0"/>
    <x v="1"/>
    <n v="11"/>
    <n v="10"/>
    <n v="93665"/>
    <n v="11400"/>
    <n v="5"/>
    <x v="0"/>
  </r>
  <r>
    <s v="EMP1545"/>
    <s v="Sarah Garcia"/>
    <x v="23"/>
    <x v="1"/>
    <s v="Master's"/>
    <s v="New York"/>
    <x v="2"/>
    <s v="Senior Engineer"/>
    <x v="0"/>
    <x v="446"/>
    <x v="0"/>
    <n v="1"/>
    <n v="11"/>
    <x v="2"/>
    <x v="3"/>
    <x v="0"/>
    <x v="1"/>
    <n v="23"/>
    <n v="62"/>
    <n v="73875"/>
    <n v="15300"/>
    <n v="10.5"/>
    <x v="0"/>
  </r>
  <r>
    <s v="EMP1546"/>
    <s v="Thomas Williams"/>
    <x v="1"/>
    <x v="2"/>
    <s v="Bachelor's"/>
    <s v="San Antonio"/>
    <x v="0"/>
    <s v="Finance Manager"/>
    <x v="0"/>
    <x v="447"/>
    <x v="2"/>
    <n v="0"/>
    <n v="4"/>
    <x v="1"/>
    <x v="3"/>
    <x v="3"/>
    <x v="1"/>
    <n v="13"/>
    <n v="76"/>
    <n v="68848"/>
    <n v="2100"/>
    <n v="5.0999999999999996"/>
    <x v="1"/>
  </r>
  <r>
    <s v="EMP1547"/>
    <s v="David Hernandez"/>
    <x v="5"/>
    <x v="2"/>
    <s v="Master's"/>
    <s v="Chicago"/>
    <x v="7"/>
    <s v="IT Manager"/>
    <x v="1"/>
    <x v="448"/>
    <x v="3"/>
    <n v="3"/>
    <n v="11"/>
    <x v="0"/>
    <x v="0"/>
    <x v="2"/>
    <x v="1"/>
    <n v="9"/>
    <n v="0"/>
    <n v="80701"/>
    <n v="9300"/>
    <n v="12.1"/>
    <x v="0"/>
  </r>
  <r>
    <s v="EMP1548"/>
    <s v="Lisa Williams"/>
    <x v="12"/>
    <x v="1"/>
    <s v="Bachelor's"/>
    <s v="San Antonio"/>
    <x v="2"/>
    <s v="Tech Lead"/>
    <x v="1"/>
    <x v="280"/>
    <x v="3"/>
    <n v="3"/>
    <n v="14"/>
    <x v="0"/>
    <x v="3"/>
    <x v="0"/>
    <x v="1"/>
    <n v="7"/>
    <n v="21"/>
    <n v="73806"/>
    <n v="7600"/>
    <n v="10.4"/>
    <x v="0"/>
  </r>
  <r>
    <s v="EMP1549"/>
    <s v="Elizabeth Smith"/>
    <x v="8"/>
    <x v="1"/>
    <s v="Master's"/>
    <s v="Phoenix"/>
    <x v="0"/>
    <s v="Controller"/>
    <x v="0"/>
    <x v="449"/>
    <x v="2"/>
    <n v="0"/>
    <n v="7"/>
    <x v="3"/>
    <x v="1"/>
    <x v="3"/>
    <x v="1"/>
    <n v="18"/>
    <n v="59"/>
    <n v="102386"/>
    <n v="6200"/>
    <n v="14.2"/>
    <x v="0"/>
  </r>
  <r>
    <s v="EMP1550"/>
    <s v="Charles Davis"/>
    <x v="23"/>
    <x v="2"/>
    <s v="PhD"/>
    <s v="New York"/>
    <x v="1"/>
    <s v="Business Development Rep"/>
    <x v="0"/>
    <x v="450"/>
    <x v="1"/>
    <n v="2"/>
    <n v="17"/>
    <x v="3"/>
    <x v="4"/>
    <x v="0"/>
    <x v="0"/>
    <n v="15"/>
    <n v="49"/>
    <n v="66709"/>
    <n v="5400"/>
    <n v="5.9"/>
    <x v="0"/>
  </r>
  <r>
    <s v="EMP1551"/>
    <s v="Barbara Anderson"/>
    <x v="22"/>
    <x v="1"/>
    <s v="Master's"/>
    <s v="New York"/>
    <x v="0"/>
    <s v="Financial Analyst"/>
    <x v="0"/>
    <x v="451"/>
    <x v="3"/>
    <n v="3"/>
    <n v="20"/>
    <x v="0"/>
    <x v="2"/>
    <x v="2"/>
    <x v="1"/>
    <n v="13"/>
    <n v="15"/>
    <n v="83738"/>
    <n v="11000"/>
    <n v="6.5"/>
    <x v="0"/>
  </r>
  <r>
    <s v="EMP1552"/>
    <s v="William Gonzalez"/>
    <x v="23"/>
    <x v="2"/>
    <s v="Master's"/>
    <s v="Los Angeles"/>
    <x v="6"/>
    <s v="HR Executive"/>
    <x v="0"/>
    <x v="60"/>
    <x v="3"/>
    <n v="3"/>
    <n v="12"/>
    <x v="1"/>
    <x v="4"/>
    <x v="3"/>
    <x v="1"/>
    <n v="24"/>
    <n v="33"/>
    <n v="49302"/>
    <n v="1700"/>
    <n v="5.5"/>
    <x v="1"/>
  </r>
  <r>
    <s v="EMP1553"/>
    <s v="Joseph Garcia"/>
    <x v="11"/>
    <x v="2"/>
    <s v="Master's"/>
    <s v="Phoenix"/>
    <x v="1"/>
    <s v="Account Manager"/>
    <x v="0"/>
    <x v="452"/>
    <x v="2"/>
    <n v="0"/>
    <n v="19"/>
    <x v="2"/>
    <x v="0"/>
    <x v="0"/>
    <x v="1"/>
    <n v="20"/>
    <n v="39"/>
    <n v="94894"/>
    <n v="19100"/>
    <n v="3.3"/>
    <x v="0"/>
  </r>
  <r>
    <s v="EMP1554"/>
    <s v="Lisa Jones"/>
    <x v="15"/>
    <x v="1"/>
    <s v="Master's"/>
    <s v="New York"/>
    <x v="3"/>
    <s v="Logistics Coordinator"/>
    <x v="0"/>
    <x v="444"/>
    <x v="1"/>
    <n v="2"/>
    <n v="5"/>
    <x v="0"/>
    <x v="2"/>
    <x v="0"/>
    <x v="0"/>
    <n v="12"/>
    <n v="61"/>
    <n v="70180"/>
    <n v="7500"/>
    <n v="13.2"/>
    <x v="0"/>
  </r>
  <r>
    <s v="EMP1555"/>
    <s v="Taylor Martinez"/>
    <x v="12"/>
    <x v="0"/>
    <s v="Master's"/>
    <s v="Philadelphia"/>
    <x v="4"/>
    <s v="Support Lead"/>
    <x v="0"/>
    <x v="453"/>
    <x v="0"/>
    <n v="1"/>
    <n v="13"/>
    <x v="0"/>
    <x v="0"/>
    <x v="3"/>
    <x v="1"/>
    <n v="4"/>
    <n v="35"/>
    <n v="63533"/>
    <n v="6600"/>
    <n v="13.8"/>
    <x v="1"/>
  </r>
  <r>
    <s v="EMP1556"/>
    <s v="Elizabeth Davis"/>
    <x v="8"/>
    <x v="1"/>
    <s v="Diploma"/>
    <s v="Phoenix"/>
    <x v="6"/>
    <s v="HR Executive"/>
    <x v="0"/>
    <x v="454"/>
    <x v="2"/>
    <n v="0"/>
    <n v="1"/>
    <x v="0"/>
    <x v="2"/>
    <x v="0"/>
    <x v="1"/>
    <n v="2"/>
    <n v="7"/>
    <n v="53273"/>
    <n v="5200"/>
    <n v="10.5"/>
    <x v="0"/>
  </r>
  <r>
    <s v="EMP1557"/>
    <s v="Linda Brown"/>
    <x v="14"/>
    <x v="1"/>
    <s v="Master's"/>
    <s v="Los Angeles"/>
    <x v="1"/>
    <s v="Business Development Rep"/>
    <x v="1"/>
    <x v="455"/>
    <x v="0"/>
    <n v="1"/>
    <n v="8"/>
    <x v="2"/>
    <x v="0"/>
    <x v="0"/>
    <x v="1"/>
    <n v="9"/>
    <n v="7"/>
    <n v="74888"/>
    <n v="17800"/>
    <n v="6.2"/>
    <x v="0"/>
  </r>
  <r>
    <s v="EMP1558"/>
    <s v="Charles Gonzalez"/>
    <x v="23"/>
    <x v="2"/>
    <s v="Bachelor's"/>
    <s v="San Jose"/>
    <x v="7"/>
    <s v="Network Engineer"/>
    <x v="0"/>
    <x v="456"/>
    <x v="2"/>
    <n v="0"/>
    <n v="18"/>
    <x v="2"/>
    <x v="4"/>
    <x v="4"/>
    <x v="0"/>
    <n v="18"/>
    <n v="1"/>
    <n v="96543"/>
    <n v="19100"/>
    <n v="8.3000000000000007"/>
    <x v="0"/>
  </r>
  <r>
    <s v="EMP1559"/>
    <s v="Patricia Lopez"/>
    <x v="19"/>
    <x v="1"/>
    <s v="High School"/>
    <s v="Dallas"/>
    <x v="3"/>
    <s v="Logistics Coordinator"/>
    <x v="0"/>
    <x v="457"/>
    <x v="2"/>
    <n v="0"/>
    <n v="19"/>
    <x v="3"/>
    <x v="3"/>
    <x v="4"/>
    <x v="1"/>
    <n v="17"/>
    <n v="31"/>
    <n v="61498"/>
    <n v="4500"/>
    <n v="8.9"/>
    <x v="0"/>
  </r>
  <r>
    <s v="EMP1560"/>
    <s v="Thomas Rodriguez"/>
    <x v="16"/>
    <x v="2"/>
    <s v="Master's"/>
    <s v="Phoenix"/>
    <x v="2"/>
    <s v="Tech Lead"/>
    <x v="0"/>
    <x v="458"/>
    <x v="0"/>
    <n v="1"/>
    <n v="4"/>
    <x v="3"/>
    <x v="4"/>
    <x v="4"/>
    <x v="1"/>
    <n v="20"/>
    <n v="68"/>
    <n v="111839"/>
    <n v="7900"/>
    <n v="8.9"/>
    <x v="0"/>
  </r>
  <r>
    <s v="EMP1561"/>
    <s v="John Gonzalez"/>
    <x v="4"/>
    <x v="2"/>
    <s v="Bachelor's"/>
    <s v="Philadelphia"/>
    <x v="2"/>
    <s v="Senior Engineer"/>
    <x v="0"/>
    <x v="459"/>
    <x v="1"/>
    <n v="2"/>
    <n v="17"/>
    <x v="0"/>
    <x v="4"/>
    <x v="3"/>
    <x v="1"/>
    <n v="5"/>
    <n v="78"/>
    <n v="139520"/>
    <n v="18000"/>
    <n v="14.1"/>
    <x v="0"/>
  </r>
  <r>
    <s v="EMP1562"/>
    <s v="Thomas Davis"/>
    <x v="0"/>
    <x v="2"/>
    <s v="Master's"/>
    <s v="Phoenix"/>
    <x v="2"/>
    <s v="Senior Engineer"/>
    <x v="0"/>
    <x v="452"/>
    <x v="2"/>
    <n v="0"/>
    <n v="8"/>
    <x v="0"/>
    <x v="4"/>
    <x v="2"/>
    <x v="1"/>
    <n v="0"/>
    <n v="51"/>
    <n v="109795"/>
    <n v="12200"/>
    <n v="11.7"/>
    <x v="0"/>
  </r>
  <r>
    <s v="EMP1563"/>
    <s v="Riley Hernandez"/>
    <x v="8"/>
    <x v="0"/>
    <s v="PhD"/>
    <s v="San Antonio"/>
    <x v="5"/>
    <s v="Marketing Analyst"/>
    <x v="0"/>
    <x v="228"/>
    <x v="1"/>
    <n v="2"/>
    <n v="9"/>
    <x v="0"/>
    <x v="2"/>
    <x v="3"/>
    <x v="1"/>
    <n v="6"/>
    <n v="79"/>
    <n v="58252"/>
    <n v="7600"/>
    <n v="6.5"/>
    <x v="0"/>
  </r>
  <r>
    <s v="EMP1564"/>
    <s v="Patricia Johnson"/>
    <x v="11"/>
    <x v="1"/>
    <s v="High School"/>
    <s v="San Jose"/>
    <x v="2"/>
    <s v="DevOps Engineer"/>
    <x v="0"/>
    <x v="460"/>
    <x v="1"/>
    <n v="2"/>
    <n v="16"/>
    <x v="3"/>
    <x v="1"/>
    <x v="1"/>
    <x v="0"/>
    <n v="1"/>
    <n v="43"/>
    <n v="76029"/>
    <n v="5100"/>
    <n v="14.5"/>
    <x v="0"/>
  </r>
  <r>
    <s v="EMP1565"/>
    <s v="Jessica Anderson"/>
    <x v="16"/>
    <x v="1"/>
    <s v="Bachelor's"/>
    <s v="San Diego"/>
    <x v="3"/>
    <s v="Supply Chain Analyst"/>
    <x v="0"/>
    <x v="461"/>
    <x v="0"/>
    <n v="1"/>
    <n v="5"/>
    <x v="3"/>
    <x v="2"/>
    <x v="0"/>
    <x v="1"/>
    <n v="24"/>
    <n v="33"/>
    <n v="72117"/>
    <n v="5800"/>
    <n v="10.1"/>
    <x v="0"/>
  </r>
  <r>
    <s v="EMP1566"/>
    <s v="Jennifer Gonzalez"/>
    <x v="7"/>
    <x v="1"/>
    <s v="Diploma"/>
    <s v="Houston"/>
    <x v="3"/>
    <s v="Supply Chain Analyst"/>
    <x v="0"/>
    <x v="418"/>
    <x v="3"/>
    <n v="3"/>
    <n v="11"/>
    <x v="3"/>
    <x v="3"/>
    <x v="4"/>
    <x v="1"/>
    <n v="19"/>
    <n v="2"/>
    <n v="74218"/>
    <n v="4600"/>
    <n v="6.9"/>
    <x v="0"/>
  </r>
  <r>
    <s v="EMP1567"/>
    <s v="Richard Miller"/>
    <x v="2"/>
    <x v="2"/>
    <s v="Bachelor's"/>
    <s v="Philadelphia"/>
    <x v="1"/>
    <s v="Sales Manager"/>
    <x v="0"/>
    <x v="211"/>
    <x v="2"/>
    <n v="0"/>
    <n v="2"/>
    <x v="0"/>
    <x v="4"/>
    <x v="4"/>
    <x v="1"/>
    <n v="18"/>
    <n v="42"/>
    <n v="78571"/>
    <n v="9700"/>
    <n v="14.9"/>
    <x v="0"/>
  </r>
  <r>
    <s v="EMP1568"/>
    <s v="Karen Johnson"/>
    <x v="23"/>
    <x v="1"/>
    <s v="Master's"/>
    <s v="Phoenix"/>
    <x v="7"/>
    <s v="IT Analyst"/>
    <x v="0"/>
    <x v="424"/>
    <x v="3"/>
    <n v="3"/>
    <n v="17"/>
    <x v="0"/>
    <x v="0"/>
    <x v="4"/>
    <x v="1"/>
    <n v="2"/>
    <n v="23"/>
    <n v="85700"/>
    <n v="12300"/>
    <n v="12"/>
    <x v="0"/>
  </r>
  <r>
    <s v="EMP1569"/>
    <s v="Matthew Lopez"/>
    <x v="11"/>
    <x v="2"/>
    <s v="Bachelor's"/>
    <s v="San Jose"/>
    <x v="0"/>
    <s v="Accountant"/>
    <x v="0"/>
    <x v="405"/>
    <x v="2"/>
    <n v="0"/>
    <n v="19"/>
    <x v="0"/>
    <x v="3"/>
    <x v="0"/>
    <x v="1"/>
    <n v="14"/>
    <n v="25"/>
    <n v="109278"/>
    <n v="10500"/>
    <n v="6.9"/>
    <x v="0"/>
  </r>
  <r>
    <s v="EMP1570"/>
    <s v="Nancy Wilson"/>
    <x v="21"/>
    <x v="1"/>
    <s v="Bachelor's"/>
    <s v="Los Angeles"/>
    <x v="3"/>
    <s v="Supply Chain Analyst"/>
    <x v="0"/>
    <x v="462"/>
    <x v="1"/>
    <n v="2"/>
    <n v="5"/>
    <x v="2"/>
    <x v="3"/>
    <x v="3"/>
    <x v="1"/>
    <n v="21"/>
    <n v="26"/>
    <n v="51612"/>
    <n v="10700"/>
    <n v="13.1"/>
    <x v="0"/>
  </r>
  <r>
    <s v="EMP1571"/>
    <s v="Richard Jones"/>
    <x v="0"/>
    <x v="2"/>
    <s v="Bachelor's"/>
    <s v="Houston"/>
    <x v="0"/>
    <s v="Finance Manager"/>
    <x v="0"/>
    <x v="462"/>
    <x v="1"/>
    <n v="2"/>
    <n v="12"/>
    <x v="2"/>
    <x v="4"/>
    <x v="2"/>
    <x v="1"/>
    <n v="12"/>
    <n v="25"/>
    <n v="83812"/>
    <n v="19800"/>
    <n v="3.3"/>
    <x v="0"/>
  </r>
  <r>
    <s v="EMP1572"/>
    <s v="Karen Wilson"/>
    <x v="9"/>
    <x v="1"/>
    <s v="Bachelor's"/>
    <s v="Houston"/>
    <x v="2"/>
    <s v="Senior Engineer"/>
    <x v="0"/>
    <x v="164"/>
    <x v="3"/>
    <n v="3"/>
    <n v="17"/>
    <x v="2"/>
    <x v="1"/>
    <x v="0"/>
    <x v="1"/>
    <n v="11"/>
    <n v="61"/>
    <n v="97477"/>
    <n v="19400"/>
    <n v="10.3"/>
    <x v="0"/>
  </r>
  <r>
    <s v="EMP1573"/>
    <s v="Joseph Smith"/>
    <x v="12"/>
    <x v="2"/>
    <s v="High School"/>
    <s v="Phoenix"/>
    <x v="3"/>
    <s v="Supply Chain Analyst"/>
    <x v="0"/>
    <x v="44"/>
    <x v="3"/>
    <n v="3"/>
    <n v="14"/>
    <x v="0"/>
    <x v="1"/>
    <x v="2"/>
    <x v="1"/>
    <n v="15"/>
    <n v="2"/>
    <n v="51557"/>
    <n v="7300"/>
    <n v="13"/>
    <x v="0"/>
  </r>
  <r>
    <s v="EMP1574"/>
    <s v="Sandra Garcia"/>
    <x v="2"/>
    <x v="1"/>
    <s v="Master's"/>
    <s v="Houston"/>
    <x v="7"/>
    <s v="IT Manager"/>
    <x v="2"/>
    <x v="61"/>
    <x v="3"/>
    <n v="3"/>
    <n v="8"/>
    <x v="0"/>
    <x v="3"/>
    <x v="4"/>
    <x v="1"/>
    <n v="19"/>
    <n v="53"/>
    <n v="63385"/>
    <n v="6500"/>
    <n v="8.6"/>
    <x v="1"/>
  </r>
  <r>
    <s v="EMP1575"/>
    <s v="Robert Anderson"/>
    <x v="14"/>
    <x v="2"/>
    <s v="Diploma"/>
    <s v="Phoenix"/>
    <x v="2"/>
    <s v="Senior Engineer"/>
    <x v="0"/>
    <x v="444"/>
    <x v="1"/>
    <n v="2"/>
    <n v="6"/>
    <x v="3"/>
    <x v="1"/>
    <x v="1"/>
    <x v="1"/>
    <n v="10"/>
    <n v="3"/>
    <n v="84338"/>
    <n v="4800"/>
    <n v="5.4"/>
    <x v="0"/>
  </r>
  <r>
    <s v="EMP1576"/>
    <s v="Anthony Williams"/>
    <x v="4"/>
    <x v="2"/>
    <s v="Bachelor's"/>
    <s v="San Diego"/>
    <x v="3"/>
    <s v="Logistics Coordinator"/>
    <x v="0"/>
    <x v="463"/>
    <x v="2"/>
    <n v="0"/>
    <n v="13"/>
    <x v="2"/>
    <x v="4"/>
    <x v="0"/>
    <x v="0"/>
    <n v="14"/>
    <n v="17"/>
    <n v="51561"/>
    <n v="12000"/>
    <n v="4.0999999999999996"/>
    <x v="0"/>
  </r>
  <r>
    <s v="EMP1577"/>
    <s v="Joseph Anderson"/>
    <x v="11"/>
    <x v="2"/>
    <s v="High School"/>
    <s v="Houston"/>
    <x v="5"/>
    <s v="Marketing Analyst"/>
    <x v="0"/>
    <x v="464"/>
    <x v="0"/>
    <n v="1"/>
    <n v="18"/>
    <x v="3"/>
    <x v="0"/>
    <x v="3"/>
    <x v="0"/>
    <n v="21"/>
    <n v="10"/>
    <n v="88806"/>
    <n v="6200"/>
    <n v="12"/>
    <x v="0"/>
  </r>
  <r>
    <s v="EMP1578"/>
    <s v="Barbara Anderson"/>
    <x v="14"/>
    <x v="1"/>
    <s v="Master's"/>
    <s v="Phoenix"/>
    <x v="5"/>
    <s v="Marketing Analyst"/>
    <x v="0"/>
    <x v="310"/>
    <x v="3"/>
    <n v="3"/>
    <n v="9"/>
    <x v="0"/>
    <x v="0"/>
    <x v="4"/>
    <x v="1"/>
    <n v="13"/>
    <n v="47"/>
    <n v="64733"/>
    <n v="9200"/>
    <n v="11"/>
    <x v="0"/>
  </r>
  <r>
    <s v="EMP1579"/>
    <s v="Sandra Wilson"/>
    <x v="3"/>
    <x v="1"/>
    <s v="PhD"/>
    <s v="New York"/>
    <x v="2"/>
    <s v="Senior Engineer"/>
    <x v="0"/>
    <x v="465"/>
    <x v="3"/>
    <n v="3"/>
    <n v="13"/>
    <x v="2"/>
    <x v="4"/>
    <x v="4"/>
    <x v="1"/>
    <n v="6"/>
    <n v="80"/>
    <n v="93877"/>
    <n v="19800"/>
    <n v="13"/>
    <x v="0"/>
  </r>
  <r>
    <s v="EMP1580"/>
    <s v="Michael Davis"/>
    <x v="21"/>
    <x v="2"/>
    <s v="Master's"/>
    <s v="San Diego"/>
    <x v="3"/>
    <s v="Logistics Coordinator"/>
    <x v="0"/>
    <x v="466"/>
    <x v="0"/>
    <n v="1"/>
    <n v="4"/>
    <x v="1"/>
    <x v="4"/>
    <x v="1"/>
    <x v="1"/>
    <n v="21"/>
    <n v="43"/>
    <n v="78717"/>
    <n v="2200"/>
    <n v="13.7"/>
    <x v="1"/>
  </r>
  <r>
    <s v="EMP1581"/>
    <s v="David Miller"/>
    <x v="15"/>
    <x v="2"/>
    <s v="High School"/>
    <s v="Dallas"/>
    <x v="2"/>
    <s v="Tech Lead"/>
    <x v="1"/>
    <x v="146"/>
    <x v="3"/>
    <n v="3"/>
    <n v="4"/>
    <x v="2"/>
    <x v="1"/>
    <x v="0"/>
    <x v="1"/>
    <n v="5"/>
    <n v="50"/>
    <n v="84566"/>
    <n v="18400"/>
    <n v="4.5"/>
    <x v="0"/>
  </r>
  <r>
    <s v="EMP1582"/>
    <s v="Christopher Brown"/>
    <x v="12"/>
    <x v="2"/>
    <s v="Master's"/>
    <s v="Dallas"/>
    <x v="4"/>
    <s v="Support Lead"/>
    <x v="0"/>
    <x v="467"/>
    <x v="3"/>
    <n v="3"/>
    <n v="12"/>
    <x v="0"/>
    <x v="0"/>
    <x v="1"/>
    <x v="1"/>
    <n v="21"/>
    <n v="21"/>
    <n v="39973"/>
    <n v="4900"/>
    <n v="3.6"/>
    <x v="0"/>
  </r>
  <r>
    <s v="EMP1583"/>
    <s v="Betty Lopez"/>
    <x v="20"/>
    <x v="1"/>
    <s v="Bachelor's"/>
    <s v="Chicago"/>
    <x v="3"/>
    <s v="Operations Manager"/>
    <x v="0"/>
    <x v="245"/>
    <x v="1"/>
    <n v="2"/>
    <n v="14"/>
    <x v="0"/>
    <x v="3"/>
    <x v="1"/>
    <x v="1"/>
    <n v="2"/>
    <n v="32"/>
    <n v="71271"/>
    <n v="9900"/>
    <n v="14.7"/>
    <x v="0"/>
  </r>
  <r>
    <s v="EMP1584"/>
    <s v="Daniel Martinez"/>
    <x v="7"/>
    <x v="2"/>
    <s v="Bachelor's"/>
    <s v="San Antonio"/>
    <x v="1"/>
    <s v="Account Manager"/>
    <x v="0"/>
    <x v="468"/>
    <x v="3"/>
    <n v="3"/>
    <n v="14"/>
    <x v="3"/>
    <x v="0"/>
    <x v="3"/>
    <x v="1"/>
    <n v="11"/>
    <n v="9"/>
    <n v="55502"/>
    <n v="4400"/>
    <n v="14.4"/>
    <x v="0"/>
  </r>
  <r>
    <s v="EMP1585"/>
    <s v="Casey Williams"/>
    <x v="4"/>
    <x v="0"/>
    <s v="Bachelor's"/>
    <s v="Los Angeles"/>
    <x v="4"/>
    <s v="Support Lead"/>
    <x v="0"/>
    <x v="469"/>
    <x v="2"/>
    <n v="0"/>
    <n v="19"/>
    <x v="3"/>
    <x v="2"/>
    <x v="2"/>
    <x v="1"/>
    <n v="7"/>
    <n v="56"/>
    <n v="39666"/>
    <n v="3100"/>
    <n v="3.1"/>
    <x v="0"/>
  </r>
  <r>
    <s v="EMP1586"/>
    <s v="Sarah Lopez"/>
    <x v="10"/>
    <x v="1"/>
    <s v="Diploma"/>
    <s v="San Diego"/>
    <x v="2"/>
    <s v="Tech Lead"/>
    <x v="0"/>
    <x v="470"/>
    <x v="2"/>
    <n v="0"/>
    <n v="11"/>
    <x v="0"/>
    <x v="0"/>
    <x v="0"/>
    <x v="1"/>
    <n v="3"/>
    <n v="11"/>
    <n v="75370"/>
    <n v="10500"/>
    <n v="4.4000000000000004"/>
    <x v="0"/>
  </r>
  <r>
    <s v="EMP1587"/>
    <s v="Anthony Hernandez"/>
    <x v="6"/>
    <x v="2"/>
    <s v="Master's"/>
    <s v="Phoenix"/>
    <x v="5"/>
    <s v="Content Strategist"/>
    <x v="1"/>
    <x v="471"/>
    <x v="2"/>
    <n v="0"/>
    <n v="14"/>
    <x v="3"/>
    <x v="1"/>
    <x v="1"/>
    <x v="1"/>
    <n v="3"/>
    <n v="62"/>
    <n v="63363"/>
    <n v="4800"/>
    <n v="13.9"/>
    <x v="0"/>
  </r>
  <r>
    <s v="EMP1588"/>
    <s v="Linda Martinez"/>
    <x v="14"/>
    <x v="1"/>
    <s v="Master's"/>
    <s v="San Jose"/>
    <x v="6"/>
    <s v="HR Manager"/>
    <x v="2"/>
    <x v="472"/>
    <x v="2"/>
    <n v="0"/>
    <n v="4"/>
    <x v="0"/>
    <x v="1"/>
    <x v="0"/>
    <x v="1"/>
    <n v="3"/>
    <n v="15"/>
    <n v="77068"/>
    <n v="9300"/>
    <n v="14.1"/>
    <x v="0"/>
  </r>
  <r>
    <s v="EMP1589"/>
    <s v="Christopher Lopez"/>
    <x v="15"/>
    <x v="2"/>
    <s v="Master's"/>
    <s v="San Antonio"/>
    <x v="2"/>
    <s v="Senior Engineer"/>
    <x v="0"/>
    <x v="473"/>
    <x v="2"/>
    <n v="0"/>
    <n v="2"/>
    <x v="3"/>
    <x v="1"/>
    <x v="3"/>
    <x v="1"/>
    <n v="18"/>
    <n v="23"/>
    <n v="127703"/>
    <n v="9200"/>
    <n v="9.3000000000000007"/>
    <x v="0"/>
  </r>
  <r>
    <s v="EMP1590"/>
    <s v="Elizabeth Johnson"/>
    <x v="21"/>
    <x v="1"/>
    <s v="PhD"/>
    <s v="New York"/>
    <x v="1"/>
    <s v="Sales Executive"/>
    <x v="0"/>
    <x v="474"/>
    <x v="0"/>
    <n v="1"/>
    <n v="1"/>
    <x v="0"/>
    <x v="3"/>
    <x v="3"/>
    <x v="0"/>
    <n v="6"/>
    <n v="71"/>
    <n v="61614"/>
    <n v="7900"/>
    <n v="7.2"/>
    <x v="0"/>
  </r>
  <r>
    <s v="EMP1591"/>
    <s v="Betty Garcia"/>
    <x v="21"/>
    <x v="1"/>
    <s v="Bachelor's"/>
    <s v="Los Angeles"/>
    <x v="4"/>
    <s v="Customer Success Manager"/>
    <x v="0"/>
    <x v="475"/>
    <x v="1"/>
    <n v="2"/>
    <n v="3"/>
    <x v="3"/>
    <x v="3"/>
    <x v="0"/>
    <x v="0"/>
    <n v="15"/>
    <n v="23"/>
    <n v="52636"/>
    <n v="4200"/>
    <n v="5.7"/>
    <x v="0"/>
  </r>
  <r>
    <s v="EMP1592"/>
    <s v="Anthony Lopez"/>
    <x v="12"/>
    <x v="2"/>
    <s v="PhD"/>
    <s v="Dallas"/>
    <x v="1"/>
    <s v="Business Development Rep"/>
    <x v="0"/>
    <x v="180"/>
    <x v="2"/>
    <n v="0"/>
    <n v="15"/>
    <x v="0"/>
    <x v="2"/>
    <x v="0"/>
    <x v="1"/>
    <n v="5"/>
    <n v="50"/>
    <n v="56045"/>
    <n v="5700"/>
    <n v="10"/>
    <x v="0"/>
  </r>
  <r>
    <s v="EMP1593"/>
    <s v="John Lopez"/>
    <x v="5"/>
    <x v="2"/>
    <s v="Bachelor's"/>
    <s v="San Jose"/>
    <x v="2"/>
    <s v="Software Engineer"/>
    <x v="1"/>
    <x v="476"/>
    <x v="2"/>
    <n v="0"/>
    <n v="11"/>
    <x v="1"/>
    <x v="3"/>
    <x v="3"/>
    <x v="0"/>
    <n v="14"/>
    <n v="5"/>
    <n v="87436"/>
    <n v="2200"/>
    <n v="14.5"/>
    <x v="0"/>
  </r>
  <r>
    <s v="EMP1594"/>
    <s v="Lisa Jones"/>
    <x v="14"/>
    <x v="1"/>
    <s v="Diploma"/>
    <s v="San Jose"/>
    <x v="3"/>
    <s v="Operations Manager"/>
    <x v="0"/>
    <x v="477"/>
    <x v="3"/>
    <n v="3"/>
    <n v="8"/>
    <x v="0"/>
    <x v="4"/>
    <x v="2"/>
    <x v="0"/>
    <n v="17"/>
    <n v="70"/>
    <n v="73859"/>
    <n v="7900"/>
    <n v="3.1"/>
    <x v="0"/>
  </r>
  <r>
    <s v="EMP1595"/>
    <s v="Anthony Rodriguez"/>
    <x v="20"/>
    <x v="2"/>
    <s v="Master's"/>
    <s v="Philadelphia"/>
    <x v="2"/>
    <s v="Senior Engineer"/>
    <x v="0"/>
    <x v="478"/>
    <x v="2"/>
    <n v="0"/>
    <n v="13"/>
    <x v="3"/>
    <x v="1"/>
    <x v="3"/>
    <x v="1"/>
    <n v="10"/>
    <n v="31"/>
    <n v="117706"/>
    <n v="7500"/>
    <n v="7.4"/>
    <x v="0"/>
  </r>
  <r>
    <s v="EMP1596"/>
    <s v="Mark Gonzalez"/>
    <x v="15"/>
    <x v="2"/>
    <s v="Master's"/>
    <s v="New York"/>
    <x v="4"/>
    <s v="Support Lead"/>
    <x v="0"/>
    <x v="479"/>
    <x v="2"/>
    <n v="0"/>
    <n v="4"/>
    <x v="3"/>
    <x v="4"/>
    <x v="2"/>
    <x v="0"/>
    <n v="18"/>
    <n v="55"/>
    <n v="58513"/>
    <n v="4900"/>
    <n v="12.9"/>
    <x v="0"/>
  </r>
  <r>
    <s v="EMP1597"/>
    <s v="Jennifer Smith"/>
    <x v="15"/>
    <x v="1"/>
    <s v="Master's"/>
    <s v="New York"/>
    <x v="0"/>
    <s v="Financial Analyst"/>
    <x v="0"/>
    <x v="480"/>
    <x v="2"/>
    <n v="0"/>
    <n v="2"/>
    <x v="2"/>
    <x v="4"/>
    <x v="2"/>
    <x v="1"/>
    <n v="22"/>
    <n v="17"/>
    <n v="101288"/>
    <n v="21700"/>
    <n v="3.8"/>
    <x v="0"/>
  </r>
  <r>
    <s v="EMP1598"/>
    <s v="Joseph Jones"/>
    <x v="17"/>
    <x v="2"/>
    <s v="Diploma"/>
    <s v="New York"/>
    <x v="2"/>
    <s v="DevOps Engineer"/>
    <x v="0"/>
    <x v="481"/>
    <x v="0"/>
    <n v="1"/>
    <n v="19"/>
    <x v="3"/>
    <x v="3"/>
    <x v="0"/>
    <x v="1"/>
    <n v="3"/>
    <n v="9"/>
    <n v="88904"/>
    <n v="7400"/>
    <n v="10"/>
    <x v="0"/>
  </r>
  <r>
    <s v="EMP1599"/>
    <s v="Nancy Williams"/>
    <x v="21"/>
    <x v="1"/>
    <s v="Bachelor's"/>
    <s v="San Antonio"/>
    <x v="1"/>
    <s v="Sales Executive"/>
    <x v="2"/>
    <x v="482"/>
    <x v="1"/>
    <n v="2"/>
    <n v="6"/>
    <x v="3"/>
    <x v="4"/>
    <x v="2"/>
    <x v="1"/>
    <n v="4"/>
    <n v="43"/>
    <n v="77438"/>
    <n v="5100"/>
    <n v="4.0999999999999996"/>
    <x v="0"/>
  </r>
  <r>
    <s v="EMP1600"/>
    <s v="David Williams"/>
    <x v="1"/>
    <x v="2"/>
    <s v="Bachelor's"/>
    <s v="Dallas"/>
    <x v="7"/>
    <s v="Network Engineer"/>
    <x v="0"/>
    <x v="483"/>
    <x v="2"/>
    <n v="0"/>
    <n v="3"/>
    <x v="0"/>
    <x v="2"/>
    <x v="1"/>
    <x v="1"/>
    <n v="17"/>
    <n v="7"/>
    <n v="68146"/>
    <n v="9800"/>
    <n v="10.6"/>
    <x v="0"/>
  </r>
  <r>
    <s v="EMP1601"/>
    <s v="James Rodriguez"/>
    <x v="20"/>
    <x v="2"/>
    <s v="Bachelor's"/>
    <s v="Chicago"/>
    <x v="1"/>
    <s v="Account Manager"/>
    <x v="0"/>
    <x v="484"/>
    <x v="3"/>
    <n v="3"/>
    <n v="13"/>
    <x v="0"/>
    <x v="3"/>
    <x v="1"/>
    <x v="1"/>
    <n v="21"/>
    <n v="19"/>
    <n v="82229"/>
    <n v="11300"/>
    <n v="14.5"/>
    <x v="0"/>
  </r>
  <r>
    <s v="EMP1602"/>
    <s v="Sandra Davis"/>
    <x v="10"/>
    <x v="1"/>
    <s v="Master's"/>
    <s v="Los Angeles"/>
    <x v="0"/>
    <s v="Accountant"/>
    <x v="0"/>
    <x v="485"/>
    <x v="1"/>
    <n v="2"/>
    <n v="15"/>
    <x v="3"/>
    <x v="0"/>
    <x v="0"/>
    <x v="1"/>
    <n v="16"/>
    <n v="21"/>
    <n v="90231"/>
    <n v="7100"/>
    <n v="4.4000000000000004"/>
    <x v="0"/>
  </r>
  <r>
    <s v="EMP1603"/>
    <s v="Charles Williams"/>
    <x v="13"/>
    <x v="2"/>
    <s v="PhD"/>
    <s v="San Diego"/>
    <x v="5"/>
    <s v="Marketing Analyst"/>
    <x v="0"/>
    <x v="486"/>
    <x v="0"/>
    <n v="1"/>
    <n v="18"/>
    <x v="3"/>
    <x v="4"/>
    <x v="1"/>
    <x v="1"/>
    <n v="11"/>
    <n v="7"/>
    <n v="52627"/>
    <n v="3000"/>
    <n v="6"/>
    <x v="0"/>
  </r>
  <r>
    <s v="EMP1604"/>
    <s v="Sandra Hernandez"/>
    <x v="5"/>
    <x v="1"/>
    <s v="Master's"/>
    <s v="Houston"/>
    <x v="3"/>
    <s v="Logistics Coordinator"/>
    <x v="0"/>
    <x v="487"/>
    <x v="3"/>
    <n v="3"/>
    <n v="11"/>
    <x v="0"/>
    <x v="4"/>
    <x v="2"/>
    <x v="0"/>
    <n v="13"/>
    <n v="48"/>
    <n v="79860"/>
    <n v="10600"/>
    <n v="10.7"/>
    <x v="0"/>
  </r>
  <r>
    <s v="EMP1605"/>
    <s v="Joseph Johnson"/>
    <x v="19"/>
    <x v="2"/>
    <s v="Bachelor's"/>
    <s v="Los Angeles"/>
    <x v="0"/>
    <s v="Financial Analyst"/>
    <x v="0"/>
    <x v="488"/>
    <x v="0"/>
    <n v="1"/>
    <n v="20"/>
    <x v="3"/>
    <x v="2"/>
    <x v="0"/>
    <x v="0"/>
    <n v="17"/>
    <n v="22"/>
    <n v="106534"/>
    <n v="8300"/>
    <n v="11.4"/>
    <x v="0"/>
  </r>
  <r>
    <s v="EMP1606"/>
    <s v="Sarah Smith"/>
    <x v="0"/>
    <x v="1"/>
    <s v="High School"/>
    <s v="Dallas"/>
    <x v="0"/>
    <s v="Accountant"/>
    <x v="0"/>
    <x v="489"/>
    <x v="3"/>
    <n v="3"/>
    <n v="7"/>
    <x v="3"/>
    <x v="1"/>
    <x v="3"/>
    <x v="1"/>
    <n v="3"/>
    <n v="58"/>
    <n v="58436"/>
    <n v="4400"/>
    <n v="8.1999999999999993"/>
    <x v="0"/>
  </r>
  <r>
    <s v="EMP1607"/>
    <s v="Nancy Garcia"/>
    <x v="5"/>
    <x v="1"/>
    <s v="Master's"/>
    <s v="New York"/>
    <x v="5"/>
    <s v="Marketing Manager"/>
    <x v="1"/>
    <x v="291"/>
    <x v="3"/>
    <n v="3"/>
    <n v="16"/>
    <x v="2"/>
    <x v="3"/>
    <x v="3"/>
    <x v="1"/>
    <n v="12"/>
    <n v="29"/>
    <n v="85174"/>
    <n v="19900"/>
    <n v="5.5"/>
    <x v="0"/>
  </r>
  <r>
    <s v="EMP1608"/>
    <s v="Susan Smith"/>
    <x v="0"/>
    <x v="1"/>
    <s v="Diploma"/>
    <s v="Phoenix"/>
    <x v="3"/>
    <s v="Supply Chain Analyst"/>
    <x v="0"/>
    <x v="282"/>
    <x v="1"/>
    <n v="2"/>
    <n v="8"/>
    <x v="3"/>
    <x v="1"/>
    <x v="2"/>
    <x v="1"/>
    <n v="13"/>
    <n v="48"/>
    <n v="72711"/>
    <n v="5500"/>
    <n v="13.8"/>
    <x v="0"/>
  </r>
  <r>
    <s v="EMP1609"/>
    <s v="Linda Wilson"/>
    <x v="15"/>
    <x v="1"/>
    <s v="Bachelor's"/>
    <s v="San Diego"/>
    <x v="1"/>
    <s v="Account Manager"/>
    <x v="0"/>
    <x v="490"/>
    <x v="2"/>
    <n v="0"/>
    <n v="1"/>
    <x v="2"/>
    <x v="2"/>
    <x v="4"/>
    <x v="0"/>
    <n v="5"/>
    <n v="32"/>
    <n v="74434"/>
    <n v="16000"/>
    <n v="3.8"/>
    <x v="0"/>
  </r>
  <r>
    <s v="EMP1610"/>
    <s v="William Jones"/>
    <x v="2"/>
    <x v="2"/>
    <s v="PhD"/>
    <s v="San Diego"/>
    <x v="2"/>
    <s v="DevOps Engineer"/>
    <x v="0"/>
    <x v="6"/>
    <x v="0"/>
    <n v="1"/>
    <n v="4"/>
    <x v="1"/>
    <x v="1"/>
    <x v="3"/>
    <x v="1"/>
    <n v="1"/>
    <n v="49"/>
    <n v="96493"/>
    <n v="3000"/>
    <n v="9"/>
    <x v="1"/>
  </r>
  <r>
    <s v="EMP1611"/>
    <s v="Daniel Gonzalez"/>
    <x v="9"/>
    <x v="2"/>
    <s v="Bachelor's"/>
    <s v="Houston"/>
    <x v="0"/>
    <s v="Finance Manager"/>
    <x v="0"/>
    <x v="491"/>
    <x v="3"/>
    <n v="3"/>
    <n v="20"/>
    <x v="0"/>
    <x v="1"/>
    <x v="0"/>
    <x v="1"/>
    <n v="0"/>
    <n v="19"/>
    <n v="64355"/>
    <n v="8600"/>
    <n v="11"/>
    <x v="0"/>
  </r>
  <r>
    <s v="EMP1612"/>
    <s v="Barbara Anderson"/>
    <x v="15"/>
    <x v="1"/>
    <s v="Bachelor's"/>
    <s v="New York"/>
    <x v="2"/>
    <s v="Tech Lead"/>
    <x v="2"/>
    <x v="492"/>
    <x v="1"/>
    <n v="2"/>
    <n v="7"/>
    <x v="1"/>
    <x v="1"/>
    <x v="3"/>
    <x v="1"/>
    <n v="19"/>
    <n v="67"/>
    <n v="90066"/>
    <n v="2700"/>
    <n v="5.7"/>
    <x v="0"/>
  </r>
  <r>
    <s v="EMP1613"/>
    <s v="Jennifer Rodriguez"/>
    <x v="8"/>
    <x v="1"/>
    <s v="Master's"/>
    <s v="Los Angeles"/>
    <x v="6"/>
    <s v="Recruiter"/>
    <x v="0"/>
    <x v="339"/>
    <x v="0"/>
    <n v="1"/>
    <n v="3"/>
    <x v="0"/>
    <x v="1"/>
    <x v="2"/>
    <x v="0"/>
    <n v="0"/>
    <n v="72"/>
    <n v="41144"/>
    <n v="4300"/>
    <n v="14.2"/>
    <x v="0"/>
  </r>
  <r>
    <s v="EMP1614"/>
    <s v="Betty Martinez"/>
    <x v="2"/>
    <x v="1"/>
    <s v="Bachelor's"/>
    <s v="San Antonio"/>
    <x v="5"/>
    <s v="Marketing Analyst"/>
    <x v="0"/>
    <x v="434"/>
    <x v="3"/>
    <n v="3"/>
    <n v="2"/>
    <x v="3"/>
    <x v="0"/>
    <x v="2"/>
    <x v="1"/>
    <n v="19"/>
    <n v="32"/>
    <n v="87523"/>
    <n v="6100"/>
    <n v="9.9"/>
    <x v="0"/>
  </r>
  <r>
    <s v="EMP1615"/>
    <s v="Avery Davis"/>
    <x v="10"/>
    <x v="0"/>
    <s v="Bachelor's"/>
    <s v="New York"/>
    <x v="5"/>
    <s v="Content Strategist"/>
    <x v="0"/>
    <x v="493"/>
    <x v="1"/>
    <n v="2"/>
    <n v="12"/>
    <x v="3"/>
    <x v="3"/>
    <x v="3"/>
    <x v="0"/>
    <n v="1"/>
    <n v="58"/>
    <n v="86752"/>
    <n v="7200"/>
    <n v="7.7"/>
    <x v="0"/>
  </r>
  <r>
    <s v="EMP1616"/>
    <s v="Sarah Wilson"/>
    <x v="10"/>
    <x v="1"/>
    <s v="Diploma"/>
    <s v="Philadelphia"/>
    <x v="2"/>
    <s v="DevOps Engineer"/>
    <x v="0"/>
    <x v="494"/>
    <x v="1"/>
    <n v="2"/>
    <n v="12"/>
    <x v="3"/>
    <x v="4"/>
    <x v="3"/>
    <x v="1"/>
    <n v="23"/>
    <n v="67"/>
    <n v="125199"/>
    <n v="8600"/>
    <n v="8.4"/>
    <x v="0"/>
  </r>
  <r>
    <s v="EMP1617"/>
    <s v="Daniel Brown"/>
    <x v="9"/>
    <x v="2"/>
    <s v="Diploma"/>
    <s v="San Diego"/>
    <x v="3"/>
    <s v="Operations Manager"/>
    <x v="0"/>
    <x v="217"/>
    <x v="1"/>
    <n v="2"/>
    <n v="20"/>
    <x v="3"/>
    <x v="4"/>
    <x v="4"/>
    <x v="1"/>
    <n v="24"/>
    <n v="79"/>
    <n v="80927"/>
    <n v="6300"/>
    <n v="7.5"/>
    <x v="0"/>
  </r>
  <r>
    <s v="EMP1618"/>
    <s v="Michael Garcia"/>
    <x v="11"/>
    <x v="2"/>
    <s v="Bachelor's"/>
    <s v="San Jose"/>
    <x v="2"/>
    <s v="DevOps Engineer"/>
    <x v="0"/>
    <x v="79"/>
    <x v="1"/>
    <n v="2"/>
    <n v="17"/>
    <x v="2"/>
    <x v="4"/>
    <x v="0"/>
    <x v="1"/>
    <n v="6"/>
    <n v="19"/>
    <n v="128062"/>
    <n v="22600"/>
    <n v="9.8000000000000007"/>
    <x v="0"/>
  </r>
  <r>
    <s v="EMP1619"/>
    <s v="Michael Wilson"/>
    <x v="22"/>
    <x v="2"/>
    <s v="Master's"/>
    <s v="New York"/>
    <x v="0"/>
    <s v="Controller"/>
    <x v="0"/>
    <x v="421"/>
    <x v="1"/>
    <n v="2"/>
    <n v="20"/>
    <x v="3"/>
    <x v="1"/>
    <x v="4"/>
    <x v="1"/>
    <n v="11"/>
    <n v="25"/>
    <n v="57313"/>
    <n v="4500"/>
    <n v="4"/>
    <x v="1"/>
  </r>
  <r>
    <s v="EMP1620"/>
    <s v="Barbara Wilson"/>
    <x v="23"/>
    <x v="1"/>
    <s v="Master's"/>
    <s v="San Antonio"/>
    <x v="2"/>
    <s v="Senior Engineer"/>
    <x v="0"/>
    <x v="495"/>
    <x v="3"/>
    <n v="3"/>
    <n v="11"/>
    <x v="0"/>
    <x v="2"/>
    <x v="2"/>
    <x v="0"/>
    <n v="5"/>
    <n v="71"/>
    <n v="92966"/>
    <n v="9400"/>
    <n v="9.6999999999999993"/>
    <x v="0"/>
  </r>
  <r>
    <s v="EMP1621"/>
    <s v="Barbara Lopez"/>
    <x v="0"/>
    <x v="1"/>
    <s v="Bachelor's"/>
    <s v="Philadelphia"/>
    <x v="2"/>
    <s v="DevOps Engineer"/>
    <x v="1"/>
    <x v="496"/>
    <x v="1"/>
    <n v="2"/>
    <n v="5"/>
    <x v="2"/>
    <x v="2"/>
    <x v="0"/>
    <x v="0"/>
    <n v="5"/>
    <n v="57"/>
    <n v="75161"/>
    <n v="14300"/>
    <n v="7.6"/>
    <x v="0"/>
  </r>
  <r>
    <s v="EMP1622"/>
    <s v="Reese Garcia"/>
    <x v="1"/>
    <x v="0"/>
    <s v="Bachelor's"/>
    <s v="Houston"/>
    <x v="1"/>
    <s v="Sales Executive"/>
    <x v="1"/>
    <x v="415"/>
    <x v="0"/>
    <n v="1"/>
    <n v="3"/>
    <x v="3"/>
    <x v="3"/>
    <x v="4"/>
    <x v="1"/>
    <n v="22"/>
    <n v="10"/>
    <n v="64667"/>
    <n v="5300"/>
    <n v="4.3"/>
    <x v="0"/>
  </r>
  <r>
    <s v="EMP1623"/>
    <s v="Betty Davis"/>
    <x v="7"/>
    <x v="1"/>
    <s v="Bachelor's"/>
    <s v="Chicago"/>
    <x v="1"/>
    <s v="Account Manager"/>
    <x v="0"/>
    <x v="497"/>
    <x v="3"/>
    <n v="3"/>
    <n v="14"/>
    <x v="2"/>
    <x v="0"/>
    <x v="4"/>
    <x v="1"/>
    <n v="8"/>
    <n v="57"/>
    <n v="61561"/>
    <n v="11200"/>
    <n v="9.1999999999999993"/>
    <x v="0"/>
  </r>
  <r>
    <s v="EMP1624"/>
    <s v="William Lopez"/>
    <x v="5"/>
    <x v="2"/>
    <s v="Bachelor's"/>
    <s v="San Antonio"/>
    <x v="1"/>
    <s v="Business Development Rep"/>
    <x v="0"/>
    <x v="498"/>
    <x v="2"/>
    <n v="0"/>
    <n v="11"/>
    <x v="2"/>
    <x v="3"/>
    <x v="2"/>
    <x v="1"/>
    <n v="10"/>
    <n v="46"/>
    <n v="85905"/>
    <n v="17700"/>
    <n v="6.6"/>
    <x v="0"/>
  </r>
  <r>
    <s v="EMP1625"/>
    <s v="David Williams"/>
    <x v="4"/>
    <x v="2"/>
    <s v="Master's"/>
    <s v="Dallas"/>
    <x v="5"/>
    <s v="SEO Specialist"/>
    <x v="2"/>
    <x v="145"/>
    <x v="0"/>
    <n v="1"/>
    <n v="18"/>
    <x v="2"/>
    <x v="1"/>
    <x v="3"/>
    <x v="1"/>
    <n v="24"/>
    <n v="13"/>
    <n v="62476"/>
    <n v="12200"/>
    <n v="11.1"/>
    <x v="0"/>
  </r>
  <r>
    <s v="EMP1626"/>
    <s v="David Johnson"/>
    <x v="8"/>
    <x v="2"/>
    <s v="Diploma"/>
    <s v="San Jose"/>
    <x v="3"/>
    <s v="Operations Manager"/>
    <x v="0"/>
    <x v="499"/>
    <x v="1"/>
    <n v="2"/>
    <n v="8"/>
    <x v="3"/>
    <x v="4"/>
    <x v="4"/>
    <x v="0"/>
    <n v="21"/>
    <n v="13"/>
    <n v="45632"/>
    <n v="3500"/>
    <n v="7.1"/>
    <x v="0"/>
  </r>
  <r>
    <s v="EMP1627"/>
    <s v="Robert Brown"/>
    <x v="18"/>
    <x v="2"/>
    <s v="Bachelor's"/>
    <s v="San Diego"/>
    <x v="1"/>
    <s v="Sales Executive"/>
    <x v="2"/>
    <x v="500"/>
    <x v="3"/>
    <n v="3"/>
    <n v="3"/>
    <x v="0"/>
    <x v="4"/>
    <x v="0"/>
    <x v="1"/>
    <n v="22"/>
    <n v="23"/>
    <n v="89931"/>
    <n v="8800"/>
    <n v="4"/>
    <x v="0"/>
  </r>
  <r>
    <s v="EMP1628"/>
    <s v="Christopher Martinez"/>
    <x v="20"/>
    <x v="2"/>
    <s v="Bachelor's"/>
    <s v="Los Angeles"/>
    <x v="2"/>
    <s v="DevOps Engineer"/>
    <x v="0"/>
    <x v="138"/>
    <x v="3"/>
    <n v="3"/>
    <n v="17"/>
    <x v="0"/>
    <x v="3"/>
    <x v="3"/>
    <x v="0"/>
    <n v="5"/>
    <n v="50"/>
    <n v="95915"/>
    <n v="13300"/>
    <n v="9.9"/>
    <x v="0"/>
  </r>
  <r>
    <s v="EMP1629"/>
    <s v="Sarah Hernandez"/>
    <x v="6"/>
    <x v="1"/>
    <s v="Master's"/>
    <s v="New York"/>
    <x v="5"/>
    <s v="Content Strategist"/>
    <x v="0"/>
    <x v="501"/>
    <x v="0"/>
    <n v="1"/>
    <n v="9"/>
    <x v="2"/>
    <x v="3"/>
    <x v="1"/>
    <x v="0"/>
    <n v="19"/>
    <n v="55"/>
    <n v="79770"/>
    <n v="18400"/>
    <n v="11.2"/>
    <x v="0"/>
  </r>
  <r>
    <s v="EMP1630"/>
    <s v="Sandra Lopez"/>
    <x v="21"/>
    <x v="1"/>
    <s v="Master's"/>
    <s v="Philadelphia"/>
    <x v="0"/>
    <s v="Financial Analyst"/>
    <x v="0"/>
    <x v="502"/>
    <x v="2"/>
    <n v="0"/>
    <n v="3"/>
    <x v="3"/>
    <x v="4"/>
    <x v="4"/>
    <x v="1"/>
    <n v="15"/>
    <n v="38"/>
    <n v="78689"/>
    <n v="5700"/>
    <n v="14.5"/>
    <x v="0"/>
  </r>
  <r>
    <s v="EMP1631"/>
    <s v="Daniel Brown"/>
    <x v="15"/>
    <x v="2"/>
    <s v="Bachelor's"/>
    <s v="San Diego"/>
    <x v="7"/>
    <s v="Systems Administrator"/>
    <x v="0"/>
    <x v="155"/>
    <x v="1"/>
    <n v="2"/>
    <n v="2"/>
    <x v="0"/>
    <x v="0"/>
    <x v="2"/>
    <x v="1"/>
    <n v="13"/>
    <n v="3"/>
    <n v="85254"/>
    <n v="11400"/>
    <n v="14.3"/>
    <x v="0"/>
  </r>
  <r>
    <s v="EMP1632"/>
    <s v="Susan Wilson"/>
    <x v="15"/>
    <x v="1"/>
    <s v="PhD"/>
    <s v="San Diego"/>
    <x v="5"/>
    <s v="Marketing Manager"/>
    <x v="0"/>
    <x v="503"/>
    <x v="1"/>
    <n v="2"/>
    <n v="1"/>
    <x v="1"/>
    <x v="3"/>
    <x v="3"/>
    <x v="0"/>
    <n v="0"/>
    <n v="63"/>
    <n v="88369"/>
    <n v="2300"/>
    <n v="14.4"/>
    <x v="1"/>
  </r>
  <r>
    <s v="EMP1633"/>
    <s v="Anthony Wilson"/>
    <x v="11"/>
    <x v="2"/>
    <s v="Bachelor's"/>
    <s v="San Diego"/>
    <x v="2"/>
    <s v="DevOps Engineer"/>
    <x v="0"/>
    <x v="400"/>
    <x v="0"/>
    <n v="1"/>
    <n v="16"/>
    <x v="0"/>
    <x v="0"/>
    <x v="3"/>
    <x v="1"/>
    <n v="16"/>
    <n v="63"/>
    <n v="90948"/>
    <n v="11600"/>
    <n v="7.2"/>
    <x v="0"/>
  </r>
  <r>
    <s v="EMP1634"/>
    <s v="James Jones"/>
    <x v="7"/>
    <x v="2"/>
    <s v="Master's"/>
    <s v="Philadelphia"/>
    <x v="1"/>
    <s v="Sales Manager"/>
    <x v="0"/>
    <x v="504"/>
    <x v="1"/>
    <n v="2"/>
    <n v="10"/>
    <x v="2"/>
    <x v="4"/>
    <x v="1"/>
    <x v="1"/>
    <n v="0"/>
    <n v="57"/>
    <n v="84263"/>
    <n v="15400"/>
    <n v="11.7"/>
    <x v="0"/>
  </r>
  <r>
    <s v="EMP1635"/>
    <s v="Michael Garcia"/>
    <x v="12"/>
    <x v="2"/>
    <s v="Master's"/>
    <s v="San Jose"/>
    <x v="1"/>
    <s v="Account Manager"/>
    <x v="1"/>
    <x v="504"/>
    <x v="1"/>
    <n v="2"/>
    <n v="16"/>
    <x v="3"/>
    <x v="0"/>
    <x v="0"/>
    <x v="1"/>
    <n v="19"/>
    <n v="30"/>
    <n v="82828"/>
    <n v="6300"/>
    <n v="13.8"/>
    <x v="0"/>
  </r>
  <r>
    <s v="EMP1636"/>
    <s v="Joseph Anderson"/>
    <x v="2"/>
    <x v="2"/>
    <s v="PhD"/>
    <s v="Phoenix"/>
    <x v="2"/>
    <s v="Senior Engineer"/>
    <x v="0"/>
    <x v="301"/>
    <x v="3"/>
    <n v="3"/>
    <n v="4"/>
    <x v="2"/>
    <x v="4"/>
    <x v="3"/>
    <x v="1"/>
    <n v="24"/>
    <n v="35"/>
    <n v="112159"/>
    <n v="22400"/>
    <n v="10.199999999999999"/>
    <x v="0"/>
  </r>
  <r>
    <s v="EMP1637"/>
    <s v="Matthew Smith"/>
    <x v="16"/>
    <x v="2"/>
    <s v="Bachelor's"/>
    <s v="San Jose"/>
    <x v="1"/>
    <s v="Sales Manager"/>
    <x v="2"/>
    <x v="17"/>
    <x v="2"/>
    <n v="0"/>
    <n v="1"/>
    <x v="0"/>
    <x v="0"/>
    <x v="3"/>
    <x v="1"/>
    <n v="19"/>
    <n v="77"/>
    <n v="85675"/>
    <n v="8800"/>
    <n v="6.3"/>
    <x v="0"/>
  </r>
  <r>
    <s v="EMP1638"/>
    <s v="James Lopez"/>
    <x v="4"/>
    <x v="2"/>
    <s v="Bachelor's"/>
    <s v="New York"/>
    <x v="1"/>
    <s v="Sales Executive"/>
    <x v="0"/>
    <x v="505"/>
    <x v="1"/>
    <n v="2"/>
    <n v="17"/>
    <x v="0"/>
    <x v="4"/>
    <x v="1"/>
    <x v="0"/>
    <n v="11"/>
    <n v="59"/>
    <n v="69642"/>
    <n v="9400"/>
    <n v="3.1"/>
    <x v="0"/>
  </r>
  <r>
    <s v="EMP1639"/>
    <s v="Richard Rodriguez"/>
    <x v="0"/>
    <x v="2"/>
    <s v="Diploma"/>
    <s v="New York"/>
    <x v="5"/>
    <s v="Marketing Manager"/>
    <x v="0"/>
    <x v="383"/>
    <x v="1"/>
    <n v="2"/>
    <n v="11"/>
    <x v="0"/>
    <x v="3"/>
    <x v="0"/>
    <x v="0"/>
    <n v="15"/>
    <n v="47"/>
    <n v="74880"/>
    <n v="9700"/>
    <n v="8.4"/>
    <x v="0"/>
  </r>
  <r>
    <s v="EMP1640"/>
    <s v="Daniel Miller"/>
    <x v="20"/>
    <x v="2"/>
    <s v="Bachelor's"/>
    <s v="Chicago"/>
    <x v="2"/>
    <s v="Senior Engineer"/>
    <x v="0"/>
    <x v="506"/>
    <x v="3"/>
    <n v="3"/>
    <n v="11"/>
    <x v="0"/>
    <x v="1"/>
    <x v="3"/>
    <x v="1"/>
    <n v="4"/>
    <n v="13"/>
    <n v="74526"/>
    <n v="8300"/>
    <n v="12.1"/>
    <x v="1"/>
  </r>
  <r>
    <s v="EMP1641"/>
    <s v="Linda Johnson"/>
    <x v="8"/>
    <x v="1"/>
    <s v="Bachelor's"/>
    <s v="Chicago"/>
    <x v="7"/>
    <s v="Network Engineer"/>
    <x v="0"/>
    <x v="507"/>
    <x v="0"/>
    <n v="1"/>
    <n v="3"/>
    <x v="0"/>
    <x v="1"/>
    <x v="3"/>
    <x v="1"/>
    <n v="14"/>
    <n v="20"/>
    <n v="59559"/>
    <n v="7300"/>
    <n v="9.3000000000000007"/>
    <x v="0"/>
  </r>
  <r>
    <s v="EMP1642"/>
    <s v="Margaret Jones"/>
    <x v="23"/>
    <x v="1"/>
    <s v="Bachelor's"/>
    <s v="Chicago"/>
    <x v="6"/>
    <s v="HR Executive"/>
    <x v="0"/>
    <x v="508"/>
    <x v="1"/>
    <n v="2"/>
    <n v="18"/>
    <x v="0"/>
    <x v="3"/>
    <x v="2"/>
    <x v="1"/>
    <n v="24"/>
    <n v="50"/>
    <n v="54779"/>
    <n v="5400"/>
    <n v="12.1"/>
    <x v="0"/>
  </r>
  <r>
    <s v="EMP1643"/>
    <s v="William Davis"/>
    <x v="25"/>
    <x v="2"/>
    <s v="Bachelor's"/>
    <s v="San Jose"/>
    <x v="0"/>
    <s v="Financial Analyst"/>
    <x v="2"/>
    <x v="222"/>
    <x v="3"/>
    <n v="3"/>
    <n v="14"/>
    <x v="0"/>
    <x v="2"/>
    <x v="3"/>
    <x v="1"/>
    <n v="12"/>
    <n v="27"/>
    <n v="68115"/>
    <n v="7200"/>
    <n v="10"/>
    <x v="1"/>
  </r>
  <r>
    <s v="EMP1644"/>
    <s v="Sandra Hernandez"/>
    <x v="12"/>
    <x v="1"/>
    <s v="Bachelor's"/>
    <s v="Phoenix"/>
    <x v="1"/>
    <s v="Sales Manager"/>
    <x v="0"/>
    <x v="509"/>
    <x v="0"/>
    <n v="1"/>
    <n v="12"/>
    <x v="3"/>
    <x v="4"/>
    <x v="0"/>
    <x v="1"/>
    <n v="20"/>
    <n v="65"/>
    <n v="58211"/>
    <n v="3700"/>
    <n v="5.3"/>
    <x v="0"/>
  </r>
  <r>
    <s v="EMP1645"/>
    <s v="John Smith"/>
    <x v="2"/>
    <x v="2"/>
    <s v="PhD"/>
    <s v="Philadelphia"/>
    <x v="4"/>
    <s v="Support Analyst"/>
    <x v="0"/>
    <x v="469"/>
    <x v="2"/>
    <n v="0"/>
    <n v="7"/>
    <x v="3"/>
    <x v="0"/>
    <x v="0"/>
    <x v="1"/>
    <n v="8"/>
    <n v="27"/>
    <n v="59107"/>
    <n v="4700"/>
    <n v="11.1"/>
    <x v="0"/>
  </r>
  <r>
    <s v="EMP1646"/>
    <s v="Michael Wilson"/>
    <x v="25"/>
    <x v="2"/>
    <s v="Master's"/>
    <s v="Houston"/>
    <x v="5"/>
    <s v="Marketing Analyst"/>
    <x v="0"/>
    <x v="510"/>
    <x v="1"/>
    <n v="2"/>
    <n v="16"/>
    <x v="1"/>
    <x v="1"/>
    <x v="1"/>
    <x v="0"/>
    <n v="0"/>
    <n v="79"/>
    <n v="75007"/>
    <n v="2300"/>
    <n v="5"/>
    <x v="0"/>
  </r>
  <r>
    <s v="EMP1647"/>
    <s v="Barbara Anderson"/>
    <x v="10"/>
    <x v="1"/>
    <s v="Bachelor's"/>
    <s v="San Antonio"/>
    <x v="4"/>
    <s v="Support Executive"/>
    <x v="0"/>
    <x v="511"/>
    <x v="3"/>
    <n v="3"/>
    <n v="13"/>
    <x v="0"/>
    <x v="3"/>
    <x v="1"/>
    <x v="0"/>
    <n v="3"/>
    <n v="38"/>
    <n v="47060"/>
    <n v="4900"/>
    <n v="8.1"/>
    <x v="0"/>
  </r>
  <r>
    <s v="EMP1648"/>
    <s v="Mark Anderson"/>
    <x v="21"/>
    <x v="2"/>
    <s v="Bachelor's"/>
    <s v="Phoenix"/>
    <x v="6"/>
    <s v="HR Manager"/>
    <x v="0"/>
    <x v="512"/>
    <x v="1"/>
    <n v="2"/>
    <n v="1"/>
    <x v="2"/>
    <x v="2"/>
    <x v="2"/>
    <x v="1"/>
    <n v="2"/>
    <n v="19"/>
    <n v="47378"/>
    <n v="8500"/>
    <n v="13.4"/>
    <x v="0"/>
  </r>
  <r>
    <s v="EMP1649"/>
    <s v="Christopher Miller"/>
    <x v="4"/>
    <x v="2"/>
    <s v="Bachelor's"/>
    <s v="Phoenix"/>
    <x v="5"/>
    <s v="Marketing Manager"/>
    <x v="0"/>
    <x v="513"/>
    <x v="3"/>
    <n v="3"/>
    <n v="14"/>
    <x v="0"/>
    <x v="0"/>
    <x v="4"/>
    <x v="0"/>
    <n v="0"/>
    <n v="34"/>
    <n v="45869"/>
    <n v="4500"/>
    <n v="3.8"/>
    <x v="0"/>
  </r>
  <r>
    <s v="EMP1650"/>
    <s v="Joseph Gonzalez"/>
    <x v="9"/>
    <x v="2"/>
    <s v="Master's"/>
    <s v="Philadelphia"/>
    <x v="2"/>
    <s v="Senior Engineer"/>
    <x v="0"/>
    <x v="514"/>
    <x v="3"/>
    <n v="3"/>
    <n v="19"/>
    <x v="3"/>
    <x v="4"/>
    <x v="0"/>
    <x v="0"/>
    <n v="5"/>
    <n v="47"/>
    <n v="134032"/>
    <n v="10200"/>
    <n v="11.9"/>
    <x v="0"/>
  </r>
  <r>
    <s v="EMP1651"/>
    <s v="Sarah Williams"/>
    <x v="23"/>
    <x v="1"/>
    <s v="Bachelor's"/>
    <s v="San Diego"/>
    <x v="1"/>
    <s v="Account Manager"/>
    <x v="0"/>
    <x v="515"/>
    <x v="0"/>
    <n v="1"/>
    <n v="12"/>
    <x v="0"/>
    <x v="4"/>
    <x v="4"/>
    <x v="1"/>
    <n v="13"/>
    <n v="11"/>
    <n v="71331"/>
    <n v="10200"/>
    <n v="12.2"/>
    <x v="0"/>
  </r>
  <r>
    <s v="EMP1652"/>
    <s v="Elizabeth Anderson"/>
    <x v="11"/>
    <x v="1"/>
    <s v="Diploma"/>
    <s v="Philadelphia"/>
    <x v="1"/>
    <s v="Account Manager"/>
    <x v="0"/>
    <x v="458"/>
    <x v="0"/>
    <n v="1"/>
    <n v="15"/>
    <x v="3"/>
    <x v="0"/>
    <x v="0"/>
    <x v="0"/>
    <n v="4"/>
    <n v="26"/>
    <n v="55766"/>
    <n v="3700"/>
    <n v="14"/>
    <x v="0"/>
  </r>
  <r>
    <s v="EMP1653"/>
    <s v="Richard Anderson"/>
    <x v="2"/>
    <x v="2"/>
    <s v="Bachelor's"/>
    <s v="Philadelphia"/>
    <x v="7"/>
    <s v="Systems Administrator"/>
    <x v="0"/>
    <x v="516"/>
    <x v="3"/>
    <n v="3"/>
    <n v="2"/>
    <x v="0"/>
    <x v="3"/>
    <x v="4"/>
    <x v="1"/>
    <n v="17"/>
    <n v="50"/>
    <n v="55264"/>
    <n v="6800"/>
    <n v="14.3"/>
    <x v="0"/>
  </r>
  <r>
    <s v="EMP1654"/>
    <s v="David Lopez"/>
    <x v="15"/>
    <x v="2"/>
    <s v="Master's"/>
    <s v="Dallas"/>
    <x v="5"/>
    <s v="SEO Specialist"/>
    <x v="0"/>
    <x v="517"/>
    <x v="2"/>
    <n v="0"/>
    <n v="4"/>
    <x v="2"/>
    <x v="4"/>
    <x v="3"/>
    <x v="1"/>
    <n v="2"/>
    <n v="39"/>
    <n v="74730"/>
    <n v="16100"/>
    <n v="12"/>
    <x v="0"/>
  </r>
  <r>
    <s v="EMP1655"/>
    <s v="Barbara Wilson"/>
    <x v="15"/>
    <x v="1"/>
    <s v="Bachelor's"/>
    <s v="San Diego"/>
    <x v="3"/>
    <s v="Operations Manager"/>
    <x v="1"/>
    <x v="39"/>
    <x v="1"/>
    <n v="2"/>
    <n v="4"/>
    <x v="0"/>
    <x v="4"/>
    <x v="4"/>
    <x v="0"/>
    <n v="21"/>
    <n v="51"/>
    <n v="47038"/>
    <n v="5000"/>
    <n v="12.9"/>
    <x v="0"/>
  </r>
  <r>
    <s v="EMP1656"/>
    <s v="Barbara Garcia"/>
    <x v="7"/>
    <x v="1"/>
    <s v="Master's"/>
    <s v="Philadelphia"/>
    <x v="2"/>
    <s v="Software Engineer"/>
    <x v="0"/>
    <x v="518"/>
    <x v="2"/>
    <n v="0"/>
    <n v="10"/>
    <x v="0"/>
    <x v="4"/>
    <x v="2"/>
    <x v="1"/>
    <n v="24"/>
    <n v="68"/>
    <n v="132710"/>
    <n v="16500"/>
    <n v="11.1"/>
    <x v="0"/>
  </r>
  <r>
    <s v="EMP1657"/>
    <s v="Charles Martinez"/>
    <x v="15"/>
    <x v="2"/>
    <s v="Bachelor's"/>
    <s v="Los Angeles"/>
    <x v="1"/>
    <s v="Sales Executive"/>
    <x v="0"/>
    <x v="388"/>
    <x v="0"/>
    <n v="1"/>
    <n v="1"/>
    <x v="3"/>
    <x v="3"/>
    <x v="3"/>
    <x v="0"/>
    <n v="19"/>
    <n v="60"/>
    <n v="76945"/>
    <n v="4500"/>
    <n v="6"/>
    <x v="1"/>
  </r>
  <r>
    <s v="EMP1658"/>
    <s v="Thomas Gonzalez"/>
    <x v="10"/>
    <x v="2"/>
    <s v="Bachelor's"/>
    <s v="Chicago"/>
    <x v="6"/>
    <s v="HR Executive"/>
    <x v="0"/>
    <x v="519"/>
    <x v="2"/>
    <n v="0"/>
    <n v="14"/>
    <x v="0"/>
    <x v="2"/>
    <x v="2"/>
    <x v="0"/>
    <n v="17"/>
    <n v="6"/>
    <n v="48413"/>
    <n v="6200"/>
    <n v="3.3"/>
    <x v="0"/>
  </r>
  <r>
    <s v="EMP1659"/>
    <s v="Nancy Rodriguez"/>
    <x v="0"/>
    <x v="1"/>
    <s v="Bachelor's"/>
    <s v="San Diego"/>
    <x v="1"/>
    <s v="Account Manager"/>
    <x v="0"/>
    <x v="520"/>
    <x v="2"/>
    <n v="0"/>
    <n v="10"/>
    <x v="0"/>
    <x v="4"/>
    <x v="3"/>
    <x v="0"/>
    <n v="24"/>
    <n v="48"/>
    <n v="84395"/>
    <n v="8500"/>
    <n v="4.9000000000000004"/>
    <x v="0"/>
  </r>
  <r>
    <s v="EMP1660"/>
    <s v="Michael Garcia"/>
    <x v="7"/>
    <x v="2"/>
    <s v="Bachelor's"/>
    <s v="San Antonio"/>
    <x v="1"/>
    <s v="Sales Executive"/>
    <x v="0"/>
    <x v="521"/>
    <x v="2"/>
    <n v="0"/>
    <n v="15"/>
    <x v="2"/>
    <x v="2"/>
    <x v="4"/>
    <x v="1"/>
    <n v="20"/>
    <n v="69"/>
    <n v="54122"/>
    <n v="12900"/>
    <n v="10.3"/>
    <x v="1"/>
  </r>
  <r>
    <s v="EMP1661"/>
    <s v="James Jones"/>
    <x v="10"/>
    <x v="2"/>
    <s v="Bachelor's"/>
    <s v="Chicago"/>
    <x v="6"/>
    <s v="HR Executive"/>
    <x v="0"/>
    <x v="522"/>
    <x v="2"/>
    <n v="0"/>
    <n v="14"/>
    <x v="3"/>
    <x v="0"/>
    <x v="1"/>
    <x v="0"/>
    <n v="18"/>
    <n v="23"/>
    <n v="57221"/>
    <n v="4300"/>
    <n v="8.6999999999999993"/>
    <x v="0"/>
  </r>
  <r>
    <s v="EMP1662"/>
    <s v="Thomas Garcia"/>
    <x v="0"/>
    <x v="2"/>
    <s v="Bachelor's"/>
    <s v="New York"/>
    <x v="2"/>
    <s v="Senior Engineer"/>
    <x v="0"/>
    <x v="523"/>
    <x v="0"/>
    <n v="1"/>
    <n v="6"/>
    <x v="0"/>
    <x v="1"/>
    <x v="1"/>
    <x v="0"/>
    <n v="16"/>
    <n v="34"/>
    <n v="75210"/>
    <n v="7800"/>
    <n v="4.5999999999999996"/>
    <x v="0"/>
  </r>
  <r>
    <s v="EMP1663"/>
    <s v="Matthew Williams"/>
    <x v="5"/>
    <x v="2"/>
    <s v="Bachelor's"/>
    <s v="Los Angeles"/>
    <x v="7"/>
    <s v="IT Analyst"/>
    <x v="0"/>
    <x v="524"/>
    <x v="0"/>
    <n v="1"/>
    <n v="16"/>
    <x v="0"/>
    <x v="0"/>
    <x v="0"/>
    <x v="1"/>
    <n v="4"/>
    <n v="8"/>
    <n v="86113"/>
    <n v="9200"/>
    <n v="5.0999999999999996"/>
    <x v="0"/>
  </r>
  <r>
    <s v="EMP1664"/>
    <s v="John Martinez"/>
    <x v="5"/>
    <x v="2"/>
    <s v="Diploma"/>
    <s v="Houston"/>
    <x v="1"/>
    <s v="Business Development Rep"/>
    <x v="0"/>
    <x v="525"/>
    <x v="1"/>
    <n v="2"/>
    <n v="14"/>
    <x v="0"/>
    <x v="3"/>
    <x v="2"/>
    <x v="1"/>
    <n v="14"/>
    <n v="77"/>
    <n v="62201"/>
    <n v="8200"/>
    <n v="3.5"/>
    <x v="0"/>
  </r>
  <r>
    <s v="EMP1665"/>
    <s v="Jennifer Davis"/>
    <x v="8"/>
    <x v="1"/>
    <s v="Master's"/>
    <s v="Chicago"/>
    <x v="3"/>
    <s v="Operations Manager"/>
    <x v="0"/>
    <x v="526"/>
    <x v="2"/>
    <n v="0"/>
    <n v="6"/>
    <x v="0"/>
    <x v="1"/>
    <x v="4"/>
    <x v="1"/>
    <n v="8"/>
    <n v="50"/>
    <n v="63849"/>
    <n v="6400"/>
    <n v="10.199999999999999"/>
    <x v="0"/>
  </r>
  <r>
    <s v="EMP1666"/>
    <s v="Matthew Anderson"/>
    <x v="11"/>
    <x v="2"/>
    <s v="Diploma"/>
    <s v="San Jose"/>
    <x v="6"/>
    <s v="Recruiter"/>
    <x v="0"/>
    <x v="527"/>
    <x v="0"/>
    <n v="1"/>
    <n v="18"/>
    <x v="0"/>
    <x v="2"/>
    <x v="3"/>
    <x v="1"/>
    <n v="15"/>
    <n v="43"/>
    <n v="70796"/>
    <n v="8100"/>
    <n v="13.5"/>
    <x v="0"/>
  </r>
  <r>
    <s v="EMP1667"/>
    <s v="Elizabeth Rodriguez"/>
    <x v="3"/>
    <x v="1"/>
    <s v="Diploma"/>
    <s v="Philadelphia"/>
    <x v="3"/>
    <s v="Operations Analyst"/>
    <x v="1"/>
    <x v="528"/>
    <x v="3"/>
    <n v="3"/>
    <n v="9"/>
    <x v="0"/>
    <x v="0"/>
    <x v="4"/>
    <x v="1"/>
    <n v="16"/>
    <n v="52"/>
    <n v="83956"/>
    <n v="9300"/>
    <n v="13.9"/>
    <x v="0"/>
  </r>
  <r>
    <s v="EMP1668"/>
    <s v="Richard Hernandez"/>
    <x v="8"/>
    <x v="2"/>
    <s v="Bachelor's"/>
    <s v="Los Angeles"/>
    <x v="2"/>
    <s v="Tech Lead"/>
    <x v="0"/>
    <x v="499"/>
    <x v="1"/>
    <n v="2"/>
    <n v="5"/>
    <x v="3"/>
    <x v="3"/>
    <x v="3"/>
    <x v="1"/>
    <n v="6"/>
    <n v="76"/>
    <n v="117380"/>
    <n v="8400"/>
    <n v="5.5"/>
    <x v="0"/>
  </r>
  <r>
    <s v="EMP1669"/>
    <s v="Christopher Gonzalez"/>
    <x v="12"/>
    <x v="2"/>
    <s v="Master's"/>
    <s v="San Antonio"/>
    <x v="5"/>
    <s v="Content Strategist"/>
    <x v="2"/>
    <x v="529"/>
    <x v="2"/>
    <n v="0"/>
    <n v="13"/>
    <x v="0"/>
    <x v="4"/>
    <x v="1"/>
    <x v="0"/>
    <n v="2"/>
    <n v="24"/>
    <n v="82236"/>
    <n v="9200"/>
    <n v="6.1"/>
    <x v="1"/>
  </r>
  <r>
    <s v="EMP1670"/>
    <s v="Jessica Anderson"/>
    <x v="20"/>
    <x v="1"/>
    <s v="Bachelor's"/>
    <s v="Chicago"/>
    <x v="5"/>
    <s v="Content Strategist"/>
    <x v="0"/>
    <x v="530"/>
    <x v="0"/>
    <n v="1"/>
    <n v="14"/>
    <x v="0"/>
    <x v="3"/>
    <x v="1"/>
    <x v="1"/>
    <n v="1"/>
    <n v="8"/>
    <n v="73030"/>
    <n v="8700"/>
    <n v="4.3"/>
    <x v="0"/>
  </r>
  <r>
    <s v="EMP1671"/>
    <s v="Thomas Jones"/>
    <x v="20"/>
    <x v="2"/>
    <s v="Bachelor's"/>
    <s v="Houston"/>
    <x v="2"/>
    <s v="Tech Lead"/>
    <x v="0"/>
    <x v="531"/>
    <x v="1"/>
    <n v="2"/>
    <n v="14"/>
    <x v="2"/>
    <x v="2"/>
    <x v="0"/>
    <x v="1"/>
    <n v="24"/>
    <n v="34"/>
    <n v="77848"/>
    <n v="14600"/>
    <n v="10.5"/>
    <x v="0"/>
  </r>
  <r>
    <s v="EMP1672"/>
    <s v="Jennifer Smith"/>
    <x v="7"/>
    <x v="1"/>
    <s v="Master's"/>
    <s v="Los Angeles"/>
    <x v="4"/>
    <s v="Customer Success Manager"/>
    <x v="0"/>
    <x v="118"/>
    <x v="0"/>
    <n v="1"/>
    <n v="13"/>
    <x v="1"/>
    <x v="4"/>
    <x v="3"/>
    <x v="1"/>
    <n v="7"/>
    <n v="58"/>
    <n v="35571"/>
    <n v="900"/>
    <n v="11.9"/>
    <x v="0"/>
  </r>
  <r>
    <s v="EMP1673"/>
    <s v="Sandra Brown"/>
    <x v="0"/>
    <x v="1"/>
    <s v="Bachelor's"/>
    <s v="San Diego"/>
    <x v="7"/>
    <s v="Network Engineer"/>
    <x v="0"/>
    <x v="532"/>
    <x v="0"/>
    <n v="1"/>
    <n v="8"/>
    <x v="3"/>
    <x v="4"/>
    <x v="0"/>
    <x v="1"/>
    <n v="24"/>
    <n v="48"/>
    <n v="94303"/>
    <n v="6500"/>
    <n v="5.8"/>
    <x v="0"/>
  </r>
  <r>
    <s v="EMP1674"/>
    <s v="Barbara Brown"/>
    <x v="25"/>
    <x v="1"/>
    <s v="Bachelor's"/>
    <s v="Los Angeles"/>
    <x v="2"/>
    <s v="Software Engineer"/>
    <x v="0"/>
    <x v="533"/>
    <x v="2"/>
    <n v="0"/>
    <n v="17"/>
    <x v="0"/>
    <x v="4"/>
    <x v="3"/>
    <x v="0"/>
    <n v="12"/>
    <n v="26"/>
    <n v="135409"/>
    <n v="15500"/>
    <n v="8.3000000000000007"/>
    <x v="0"/>
  </r>
  <r>
    <s v="EMP1675"/>
    <s v="Richard Jones"/>
    <x v="6"/>
    <x v="2"/>
    <s v="Master's"/>
    <s v="New York"/>
    <x v="6"/>
    <s v="HR Manager"/>
    <x v="0"/>
    <x v="199"/>
    <x v="1"/>
    <n v="2"/>
    <n v="8"/>
    <x v="1"/>
    <x v="3"/>
    <x v="4"/>
    <x v="1"/>
    <n v="12"/>
    <n v="2"/>
    <n v="70783"/>
    <n v="2300"/>
    <n v="9.8000000000000007"/>
    <x v="1"/>
  </r>
  <r>
    <s v="EMP1676"/>
    <s v="Joseph Anderson"/>
    <x v="6"/>
    <x v="2"/>
    <s v="Bachelor's"/>
    <s v="Dallas"/>
    <x v="6"/>
    <s v="L&amp;D Specialist"/>
    <x v="0"/>
    <x v="534"/>
    <x v="2"/>
    <n v="0"/>
    <n v="9"/>
    <x v="1"/>
    <x v="0"/>
    <x v="1"/>
    <x v="1"/>
    <n v="12"/>
    <n v="46"/>
    <n v="64025"/>
    <n v="1700"/>
    <n v="4.9000000000000004"/>
    <x v="1"/>
  </r>
  <r>
    <s v="EMP1677"/>
    <s v="Patricia Lopez"/>
    <x v="23"/>
    <x v="1"/>
    <s v="Bachelor's"/>
    <s v="Houston"/>
    <x v="3"/>
    <s v="Operations Analyst"/>
    <x v="0"/>
    <x v="535"/>
    <x v="1"/>
    <n v="2"/>
    <n v="18"/>
    <x v="1"/>
    <x v="0"/>
    <x v="0"/>
    <x v="1"/>
    <n v="2"/>
    <n v="29"/>
    <n v="79423"/>
    <n v="2300"/>
    <n v="6.5"/>
    <x v="0"/>
  </r>
  <r>
    <s v="EMP1678"/>
    <s v="Karen Hernandez"/>
    <x v="25"/>
    <x v="1"/>
    <s v="Diploma"/>
    <s v="Phoenix"/>
    <x v="7"/>
    <s v="IT Analyst"/>
    <x v="2"/>
    <x v="536"/>
    <x v="1"/>
    <n v="2"/>
    <n v="16"/>
    <x v="2"/>
    <x v="0"/>
    <x v="0"/>
    <x v="1"/>
    <n v="3"/>
    <n v="59"/>
    <n v="70482"/>
    <n v="16700"/>
    <n v="10.199999999999999"/>
    <x v="1"/>
  </r>
  <r>
    <s v="EMP1679"/>
    <s v="Jennifer Rodriguez"/>
    <x v="16"/>
    <x v="1"/>
    <s v="Diploma"/>
    <s v="New York"/>
    <x v="2"/>
    <s v="Tech Lead"/>
    <x v="0"/>
    <x v="537"/>
    <x v="1"/>
    <n v="2"/>
    <n v="1"/>
    <x v="0"/>
    <x v="0"/>
    <x v="3"/>
    <x v="0"/>
    <n v="19"/>
    <n v="47"/>
    <n v="105695"/>
    <n v="10300"/>
    <n v="9.1"/>
    <x v="1"/>
  </r>
  <r>
    <s v="EMP1680"/>
    <s v="Joseph Williams"/>
    <x v="16"/>
    <x v="2"/>
    <s v="Bachelor's"/>
    <s v="Dallas"/>
    <x v="2"/>
    <s v="Tech Lead"/>
    <x v="0"/>
    <x v="300"/>
    <x v="3"/>
    <n v="3"/>
    <n v="6"/>
    <x v="2"/>
    <x v="4"/>
    <x v="0"/>
    <x v="1"/>
    <n v="14"/>
    <n v="66"/>
    <n v="119469"/>
    <n v="21900"/>
    <n v="9.3000000000000007"/>
    <x v="0"/>
  </r>
  <r>
    <s v="EMP1681"/>
    <s v="Karen Lopez"/>
    <x v="7"/>
    <x v="1"/>
    <s v="Master's"/>
    <s v="Los Angeles"/>
    <x v="0"/>
    <s v="Accountant"/>
    <x v="0"/>
    <x v="538"/>
    <x v="2"/>
    <n v="0"/>
    <n v="14"/>
    <x v="2"/>
    <x v="4"/>
    <x v="2"/>
    <x v="1"/>
    <n v="12"/>
    <n v="38"/>
    <n v="87750"/>
    <n v="14300"/>
    <n v="3.9"/>
    <x v="0"/>
  </r>
  <r>
    <s v="EMP1682"/>
    <s v="Joseph Brown"/>
    <x v="0"/>
    <x v="2"/>
    <s v="Diploma"/>
    <s v="Houston"/>
    <x v="1"/>
    <s v="Account Manager"/>
    <x v="1"/>
    <x v="491"/>
    <x v="3"/>
    <n v="3"/>
    <n v="5"/>
    <x v="3"/>
    <x v="3"/>
    <x v="2"/>
    <x v="0"/>
    <n v="12"/>
    <n v="59"/>
    <n v="94725"/>
    <n v="7000"/>
    <n v="6.6"/>
    <x v="0"/>
  </r>
  <r>
    <s v="EMP1683"/>
    <s v="Michael Davis"/>
    <x v="2"/>
    <x v="2"/>
    <s v="Diploma"/>
    <s v="San Antonio"/>
    <x v="1"/>
    <s v="Business Development Rep"/>
    <x v="0"/>
    <x v="539"/>
    <x v="1"/>
    <n v="2"/>
    <n v="8"/>
    <x v="0"/>
    <x v="3"/>
    <x v="4"/>
    <x v="1"/>
    <n v="16"/>
    <n v="70"/>
    <n v="51637"/>
    <n v="5100"/>
    <n v="8.6"/>
    <x v="0"/>
  </r>
  <r>
    <s v="EMP1684"/>
    <s v="Anthony Wilson"/>
    <x v="6"/>
    <x v="2"/>
    <s v="Bachelor's"/>
    <s v="New York"/>
    <x v="1"/>
    <s v="Business Development Rep"/>
    <x v="0"/>
    <x v="206"/>
    <x v="2"/>
    <n v="0"/>
    <n v="11"/>
    <x v="2"/>
    <x v="2"/>
    <x v="4"/>
    <x v="0"/>
    <n v="0"/>
    <n v="57"/>
    <n v="78208"/>
    <n v="18700"/>
    <n v="4.8"/>
    <x v="0"/>
  </r>
  <r>
    <s v="EMP1685"/>
    <s v="Charles Davis"/>
    <x v="10"/>
    <x v="2"/>
    <s v="Bachelor's"/>
    <s v="Dallas"/>
    <x v="1"/>
    <s v="Business Development Rep"/>
    <x v="0"/>
    <x v="38"/>
    <x v="0"/>
    <n v="1"/>
    <n v="10"/>
    <x v="0"/>
    <x v="2"/>
    <x v="0"/>
    <x v="1"/>
    <n v="2"/>
    <n v="19"/>
    <n v="78881"/>
    <n v="10900"/>
    <n v="12.1"/>
    <x v="0"/>
  </r>
  <r>
    <s v="EMP1686"/>
    <s v="Daniel Davis"/>
    <x v="21"/>
    <x v="2"/>
    <s v="Master's"/>
    <s v="San Jose"/>
    <x v="5"/>
    <s v="SEO Specialist"/>
    <x v="0"/>
    <x v="57"/>
    <x v="0"/>
    <n v="1"/>
    <n v="7"/>
    <x v="0"/>
    <x v="0"/>
    <x v="2"/>
    <x v="0"/>
    <n v="17"/>
    <n v="72"/>
    <n v="63072"/>
    <n v="6200"/>
    <n v="6.6"/>
    <x v="0"/>
  </r>
  <r>
    <s v="EMP1687"/>
    <s v="Morgan Smith"/>
    <x v="16"/>
    <x v="0"/>
    <s v="Master's"/>
    <s v="San Diego"/>
    <x v="6"/>
    <s v="Recruiter"/>
    <x v="2"/>
    <x v="61"/>
    <x v="3"/>
    <n v="3"/>
    <n v="2"/>
    <x v="0"/>
    <x v="3"/>
    <x v="0"/>
    <x v="0"/>
    <n v="23"/>
    <n v="47"/>
    <n v="44331"/>
    <n v="6200"/>
    <n v="5"/>
    <x v="0"/>
  </r>
  <r>
    <s v="EMP1688"/>
    <s v="Barbara Martinez"/>
    <x v="5"/>
    <x v="1"/>
    <s v="Bachelor's"/>
    <s v="San Antonio"/>
    <x v="2"/>
    <s v="DevOps Engineer"/>
    <x v="0"/>
    <x v="540"/>
    <x v="0"/>
    <n v="1"/>
    <n v="11"/>
    <x v="3"/>
    <x v="3"/>
    <x v="0"/>
    <x v="1"/>
    <n v="9"/>
    <n v="63"/>
    <n v="138163"/>
    <n v="10900"/>
    <n v="12.3"/>
    <x v="0"/>
  </r>
  <r>
    <s v="EMP1689"/>
    <s v="Charles Jones"/>
    <x v="3"/>
    <x v="2"/>
    <s v="Bachelor's"/>
    <s v="Dallas"/>
    <x v="2"/>
    <s v="DevOps Engineer"/>
    <x v="0"/>
    <x v="541"/>
    <x v="0"/>
    <n v="1"/>
    <n v="5"/>
    <x v="3"/>
    <x v="4"/>
    <x v="2"/>
    <x v="1"/>
    <n v="18"/>
    <n v="42"/>
    <n v="98698"/>
    <n v="6200"/>
    <n v="13.9"/>
    <x v="0"/>
  </r>
  <r>
    <s v="EMP1690"/>
    <s v="Robert Martinez"/>
    <x v="14"/>
    <x v="2"/>
    <s v="Bachelor's"/>
    <s v="Phoenix"/>
    <x v="0"/>
    <s v="Accountant"/>
    <x v="0"/>
    <x v="498"/>
    <x v="2"/>
    <n v="0"/>
    <n v="11"/>
    <x v="0"/>
    <x v="4"/>
    <x v="2"/>
    <x v="1"/>
    <n v="18"/>
    <n v="27"/>
    <n v="108415"/>
    <n v="12600"/>
    <n v="14.7"/>
    <x v="0"/>
  </r>
  <r>
    <s v="EMP1691"/>
    <s v="Michael Jones"/>
    <x v="14"/>
    <x v="2"/>
    <s v="Bachelor's"/>
    <s v="Chicago"/>
    <x v="0"/>
    <s v="Controller"/>
    <x v="0"/>
    <x v="499"/>
    <x v="1"/>
    <n v="2"/>
    <n v="6"/>
    <x v="0"/>
    <x v="4"/>
    <x v="1"/>
    <x v="1"/>
    <n v="22"/>
    <n v="19"/>
    <n v="76439"/>
    <n v="10500"/>
    <n v="4.2"/>
    <x v="1"/>
  </r>
  <r>
    <s v="EMP1692"/>
    <s v="Robert Smith"/>
    <x v="20"/>
    <x v="2"/>
    <s v="Master's"/>
    <s v="New York"/>
    <x v="5"/>
    <s v="Marketing Analyst"/>
    <x v="0"/>
    <x v="542"/>
    <x v="1"/>
    <n v="2"/>
    <n v="12"/>
    <x v="2"/>
    <x v="0"/>
    <x v="3"/>
    <x v="1"/>
    <n v="12"/>
    <n v="62"/>
    <n v="50735"/>
    <n v="11700"/>
    <n v="7"/>
    <x v="1"/>
  </r>
  <r>
    <s v="EMP1693"/>
    <s v="William Martinez"/>
    <x v="16"/>
    <x v="2"/>
    <s v="Master's"/>
    <s v="Phoenix"/>
    <x v="0"/>
    <s v="Financial Analyst"/>
    <x v="0"/>
    <x v="543"/>
    <x v="3"/>
    <n v="3"/>
    <n v="5"/>
    <x v="2"/>
    <x v="3"/>
    <x v="3"/>
    <x v="0"/>
    <n v="22"/>
    <n v="60"/>
    <n v="72038"/>
    <n v="16000"/>
    <n v="9.1999999999999993"/>
    <x v="0"/>
  </r>
  <r>
    <s v="EMP1694"/>
    <s v="Thomas Jones"/>
    <x v="5"/>
    <x v="2"/>
    <s v="PhD"/>
    <s v="Chicago"/>
    <x v="4"/>
    <s v="Support Analyst"/>
    <x v="0"/>
    <x v="322"/>
    <x v="0"/>
    <n v="1"/>
    <n v="13"/>
    <x v="3"/>
    <x v="1"/>
    <x v="0"/>
    <x v="1"/>
    <n v="3"/>
    <n v="18"/>
    <n v="42704"/>
    <n v="3400"/>
    <n v="11"/>
    <x v="0"/>
  </r>
  <r>
    <s v="EMP1695"/>
    <s v="Taylor Williams"/>
    <x v="7"/>
    <x v="0"/>
    <s v="Master's"/>
    <s v="San Jose"/>
    <x v="3"/>
    <s v="Operations Analyst"/>
    <x v="0"/>
    <x v="171"/>
    <x v="3"/>
    <n v="3"/>
    <n v="11"/>
    <x v="0"/>
    <x v="0"/>
    <x v="2"/>
    <x v="1"/>
    <n v="20"/>
    <n v="4"/>
    <n v="76561"/>
    <n v="7800"/>
    <n v="10.7"/>
    <x v="0"/>
  </r>
  <r>
    <s v="EMP1696"/>
    <s v="Michael Garcia"/>
    <x v="10"/>
    <x v="2"/>
    <s v="Bachelor's"/>
    <s v="Philadelphia"/>
    <x v="6"/>
    <s v="Recruiter"/>
    <x v="0"/>
    <x v="544"/>
    <x v="3"/>
    <n v="3"/>
    <n v="9"/>
    <x v="0"/>
    <x v="4"/>
    <x v="4"/>
    <x v="1"/>
    <n v="24"/>
    <n v="72"/>
    <n v="72611"/>
    <n v="10300"/>
    <n v="12.4"/>
    <x v="0"/>
  </r>
  <r>
    <s v="EMP1697"/>
    <s v="Matthew Williams"/>
    <x v="4"/>
    <x v="2"/>
    <s v="Bachelor's"/>
    <s v="San Antonio"/>
    <x v="0"/>
    <s v="Finance Manager"/>
    <x v="0"/>
    <x v="545"/>
    <x v="0"/>
    <n v="1"/>
    <n v="16"/>
    <x v="0"/>
    <x v="1"/>
    <x v="4"/>
    <x v="1"/>
    <n v="22"/>
    <n v="43"/>
    <n v="64197"/>
    <n v="8000"/>
    <n v="14.5"/>
    <x v="0"/>
  </r>
  <r>
    <s v="EMP1698"/>
    <s v="John Davis"/>
    <x v="5"/>
    <x v="2"/>
    <s v="Bachelor's"/>
    <s v="New York"/>
    <x v="7"/>
    <s v="IT Manager"/>
    <x v="0"/>
    <x v="546"/>
    <x v="1"/>
    <n v="2"/>
    <n v="11"/>
    <x v="3"/>
    <x v="2"/>
    <x v="0"/>
    <x v="1"/>
    <n v="9"/>
    <n v="68"/>
    <n v="80604"/>
    <n v="6800"/>
    <n v="10.3"/>
    <x v="0"/>
  </r>
  <r>
    <s v="EMP1699"/>
    <s v="David Smith"/>
    <x v="2"/>
    <x v="2"/>
    <s v="PhD"/>
    <s v="San Jose"/>
    <x v="2"/>
    <s v="DevOps Engineer"/>
    <x v="0"/>
    <x v="454"/>
    <x v="2"/>
    <n v="0"/>
    <n v="3"/>
    <x v="1"/>
    <x v="3"/>
    <x v="4"/>
    <x v="1"/>
    <n v="20"/>
    <n v="4"/>
    <n v="124689"/>
    <n v="4400"/>
    <n v="10.3"/>
    <x v="1"/>
  </r>
  <r>
    <s v="EMP1700"/>
    <s v="Karen Jones"/>
    <x v="12"/>
    <x v="1"/>
    <s v="Bachelor's"/>
    <s v="Dallas"/>
    <x v="5"/>
    <s v="Marketing Manager"/>
    <x v="2"/>
    <x v="547"/>
    <x v="2"/>
    <n v="0"/>
    <n v="17"/>
    <x v="0"/>
    <x v="2"/>
    <x v="2"/>
    <x v="1"/>
    <n v="0"/>
    <n v="64"/>
    <n v="74442"/>
    <n v="7200"/>
    <n v="3.6"/>
    <x v="1"/>
  </r>
  <r>
    <s v="EMP1701"/>
    <s v="Lisa Smith"/>
    <x v="19"/>
    <x v="1"/>
    <s v="Bachelor's"/>
    <s v="Houston"/>
    <x v="0"/>
    <s v="Accountant"/>
    <x v="0"/>
    <x v="548"/>
    <x v="2"/>
    <n v="0"/>
    <n v="18"/>
    <x v="3"/>
    <x v="4"/>
    <x v="1"/>
    <x v="0"/>
    <n v="10"/>
    <n v="31"/>
    <n v="62593"/>
    <n v="5100"/>
    <n v="7.7"/>
    <x v="0"/>
  </r>
  <r>
    <s v="EMP1702"/>
    <s v="Robert Anderson"/>
    <x v="6"/>
    <x v="2"/>
    <s v="Bachelor's"/>
    <s v="Dallas"/>
    <x v="4"/>
    <s v="Support Analyst"/>
    <x v="0"/>
    <x v="549"/>
    <x v="0"/>
    <n v="1"/>
    <n v="10"/>
    <x v="0"/>
    <x v="1"/>
    <x v="1"/>
    <x v="0"/>
    <n v="4"/>
    <n v="15"/>
    <n v="64686"/>
    <n v="8500"/>
    <n v="7.3"/>
    <x v="0"/>
  </r>
  <r>
    <s v="EMP1703"/>
    <s v="Patricia Gonzalez"/>
    <x v="12"/>
    <x v="1"/>
    <s v="Bachelor's"/>
    <s v="Los Angeles"/>
    <x v="3"/>
    <s v="Operations Analyst"/>
    <x v="0"/>
    <x v="550"/>
    <x v="0"/>
    <n v="1"/>
    <n v="15"/>
    <x v="0"/>
    <x v="4"/>
    <x v="3"/>
    <x v="0"/>
    <n v="17"/>
    <n v="32"/>
    <n v="80035"/>
    <n v="8200"/>
    <n v="11"/>
    <x v="0"/>
  </r>
  <r>
    <s v="EMP1704"/>
    <s v="Karen Gonzalez"/>
    <x v="2"/>
    <x v="1"/>
    <s v="Bachelor's"/>
    <s v="San Antonio"/>
    <x v="1"/>
    <s v="Sales Executive"/>
    <x v="0"/>
    <x v="164"/>
    <x v="3"/>
    <n v="3"/>
    <n v="5"/>
    <x v="0"/>
    <x v="4"/>
    <x v="1"/>
    <x v="0"/>
    <n v="16"/>
    <n v="51"/>
    <n v="90189"/>
    <n v="10700"/>
    <n v="14.1"/>
    <x v="0"/>
  </r>
  <r>
    <s v="EMP1705"/>
    <s v="Charles Hernandez"/>
    <x v="16"/>
    <x v="2"/>
    <s v="PhD"/>
    <s v="New York"/>
    <x v="1"/>
    <s v="Sales Manager"/>
    <x v="0"/>
    <x v="76"/>
    <x v="2"/>
    <n v="0"/>
    <n v="3"/>
    <x v="0"/>
    <x v="1"/>
    <x v="0"/>
    <x v="1"/>
    <n v="11"/>
    <n v="2"/>
    <n v="77399"/>
    <n v="9100"/>
    <n v="6.9"/>
    <x v="0"/>
  </r>
  <r>
    <s v="EMP1706"/>
    <s v="Susan Lopez"/>
    <x v="7"/>
    <x v="1"/>
    <s v="Bachelor's"/>
    <s v="Dallas"/>
    <x v="2"/>
    <s v="Tech Lead"/>
    <x v="0"/>
    <x v="551"/>
    <x v="3"/>
    <n v="3"/>
    <n v="15"/>
    <x v="0"/>
    <x v="3"/>
    <x v="1"/>
    <x v="1"/>
    <n v="19"/>
    <n v="4"/>
    <n v="82579"/>
    <n v="10200"/>
    <n v="4.4000000000000004"/>
    <x v="0"/>
  </r>
  <r>
    <s v="EMP1707"/>
    <s v="Thomas Wilson"/>
    <x v="24"/>
    <x v="2"/>
    <s v="Diploma"/>
    <s v="Philadelphia"/>
    <x v="3"/>
    <s v="Supply Chain Analyst"/>
    <x v="2"/>
    <x v="552"/>
    <x v="2"/>
    <n v="0"/>
    <n v="4"/>
    <x v="1"/>
    <x v="1"/>
    <x v="0"/>
    <x v="0"/>
    <n v="11"/>
    <n v="9"/>
    <n v="88569"/>
    <n v="2300"/>
    <n v="6.1"/>
    <x v="1"/>
  </r>
  <r>
    <s v="EMP1708"/>
    <s v="William Miller"/>
    <x v="3"/>
    <x v="2"/>
    <s v="Master's"/>
    <s v="Phoenix"/>
    <x v="6"/>
    <s v="L&amp;D Specialist"/>
    <x v="0"/>
    <x v="51"/>
    <x v="3"/>
    <n v="3"/>
    <n v="11"/>
    <x v="1"/>
    <x v="3"/>
    <x v="1"/>
    <x v="0"/>
    <n v="5"/>
    <n v="73"/>
    <n v="49006"/>
    <n v="1500"/>
    <n v="13.2"/>
    <x v="1"/>
  </r>
  <r>
    <s v="EMP1709"/>
    <s v="Patricia Brown"/>
    <x v="19"/>
    <x v="1"/>
    <s v="Diploma"/>
    <s v="Dallas"/>
    <x v="2"/>
    <s v="Senior Engineer"/>
    <x v="0"/>
    <x v="553"/>
    <x v="3"/>
    <n v="3"/>
    <n v="18"/>
    <x v="3"/>
    <x v="1"/>
    <x v="2"/>
    <x v="0"/>
    <n v="24"/>
    <n v="5"/>
    <n v="80441"/>
    <n v="5700"/>
    <n v="9.9"/>
    <x v="0"/>
  </r>
  <r>
    <s v="EMP1710"/>
    <s v="Susan Johnson"/>
    <x v="24"/>
    <x v="1"/>
    <s v="Bachelor's"/>
    <s v="Los Angeles"/>
    <x v="1"/>
    <s v="Account Manager"/>
    <x v="0"/>
    <x v="554"/>
    <x v="0"/>
    <n v="1"/>
    <n v="2"/>
    <x v="2"/>
    <x v="2"/>
    <x v="0"/>
    <x v="1"/>
    <n v="7"/>
    <n v="10"/>
    <n v="83555"/>
    <n v="19300"/>
    <n v="3.5"/>
    <x v="0"/>
  </r>
  <r>
    <s v="EMP1711"/>
    <s v="Christopher Anderson"/>
    <x v="21"/>
    <x v="2"/>
    <s v="Bachelor's"/>
    <s v="San Antonio"/>
    <x v="0"/>
    <s v="Accountant"/>
    <x v="0"/>
    <x v="380"/>
    <x v="3"/>
    <n v="3"/>
    <n v="1"/>
    <x v="2"/>
    <x v="2"/>
    <x v="4"/>
    <x v="0"/>
    <n v="18"/>
    <n v="24"/>
    <n v="101410"/>
    <n v="22200"/>
    <n v="12.9"/>
    <x v="0"/>
  </r>
  <r>
    <s v="EMP1712"/>
    <s v="Mary Miller"/>
    <x v="7"/>
    <x v="1"/>
    <s v="PhD"/>
    <s v="Houston"/>
    <x v="0"/>
    <s v="Controller"/>
    <x v="0"/>
    <x v="281"/>
    <x v="1"/>
    <n v="2"/>
    <n v="13"/>
    <x v="0"/>
    <x v="1"/>
    <x v="2"/>
    <x v="0"/>
    <n v="8"/>
    <n v="77"/>
    <n v="74182"/>
    <n v="8600"/>
    <n v="10.1"/>
    <x v="0"/>
  </r>
  <r>
    <s v="EMP1713"/>
    <s v="John Miller"/>
    <x v="15"/>
    <x v="2"/>
    <s v="PhD"/>
    <s v="New York"/>
    <x v="7"/>
    <s v="Systems Administrator"/>
    <x v="0"/>
    <x v="555"/>
    <x v="1"/>
    <n v="2"/>
    <n v="5"/>
    <x v="2"/>
    <x v="4"/>
    <x v="3"/>
    <x v="1"/>
    <n v="6"/>
    <n v="35"/>
    <n v="93024"/>
    <n v="19900"/>
    <n v="4.5999999999999996"/>
    <x v="1"/>
  </r>
  <r>
    <s v="EMP1714"/>
    <s v="Lisa Brown"/>
    <x v="10"/>
    <x v="1"/>
    <s v="Bachelor's"/>
    <s v="San Antonio"/>
    <x v="5"/>
    <s v="Marketing Analyst"/>
    <x v="0"/>
    <x v="556"/>
    <x v="3"/>
    <n v="3"/>
    <n v="14"/>
    <x v="2"/>
    <x v="2"/>
    <x v="4"/>
    <x v="1"/>
    <n v="14"/>
    <n v="25"/>
    <n v="74299"/>
    <n v="16200"/>
    <n v="12.4"/>
    <x v="0"/>
  </r>
  <r>
    <s v="EMP1715"/>
    <s v="David Brown"/>
    <x v="10"/>
    <x v="2"/>
    <s v="Bachelor's"/>
    <s v="Dallas"/>
    <x v="5"/>
    <s v="Marketing Manager"/>
    <x v="0"/>
    <x v="346"/>
    <x v="1"/>
    <n v="2"/>
    <n v="9"/>
    <x v="0"/>
    <x v="4"/>
    <x v="1"/>
    <x v="1"/>
    <n v="9"/>
    <n v="18"/>
    <n v="45200"/>
    <n v="4700"/>
    <n v="12.4"/>
    <x v="0"/>
  </r>
  <r>
    <s v="EMP1716"/>
    <s v="Richard Gonzalez"/>
    <x v="23"/>
    <x v="2"/>
    <s v="Master's"/>
    <s v="San Antonio"/>
    <x v="1"/>
    <s v="Account Manager"/>
    <x v="0"/>
    <x v="557"/>
    <x v="3"/>
    <n v="3"/>
    <n v="17"/>
    <x v="0"/>
    <x v="4"/>
    <x v="3"/>
    <x v="1"/>
    <n v="14"/>
    <n v="17"/>
    <n v="67796"/>
    <n v="7200"/>
    <n v="5.4"/>
    <x v="0"/>
  </r>
  <r>
    <s v="EMP1717"/>
    <s v="Lisa Davis"/>
    <x v="5"/>
    <x v="1"/>
    <s v="Bachelor's"/>
    <s v="Phoenix"/>
    <x v="1"/>
    <s v="Sales Executive"/>
    <x v="0"/>
    <x v="558"/>
    <x v="2"/>
    <n v="0"/>
    <n v="17"/>
    <x v="0"/>
    <x v="1"/>
    <x v="1"/>
    <x v="1"/>
    <n v="18"/>
    <n v="13"/>
    <n v="92267"/>
    <n v="10000"/>
    <n v="4.2"/>
    <x v="0"/>
  </r>
  <r>
    <s v="EMP1718"/>
    <s v="Barbara Gonzalez"/>
    <x v="22"/>
    <x v="1"/>
    <s v="Diploma"/>
    <s v="Dallas"/>
    <x v="2"/>
    <s v="Senior Engineer"/>
    <x v="0"/>
    <x v="559"/>
    <x v="1"/>
    <n v="2"/>
    <n v="20"/>
    <x v="1"/>
    <x v="3"/>
    <x v="1"/>
    <x v="1"/>
    <n v="15"/>
    <n v="24"/>
    <n v="135147"/>
    <n v="3200"/>
    <n v="14.5"/>
    <x v="1"/>
  </r>
  <r>
    <s v="EMP1719"/>
    <s v="William Lopez"/>
    <x v="0"/>
    <x v="2"/>
    <s v="Master's"/>
    <s v="Philadelphia"/>
    <x v="2"/>
    <s v="Senior Engineer"/>
    <x v="0"/>
    <x v="560"/>
    <x v="2"/>
    <n v="0"/>
    <n v="9"/>
    <x v="2"/>
    <x v="0"/>
    <x v="0"/>
    <x v="0"/>
    <n v="10"/>
    <n v="63"/>
    <n v="116777"/>
    <n v="23100"/>
    <n v="5.4"/>
    <x v="0"/>
  </r>
  <r>
    <s v="EMP1720"/>
    <s v="Thomas Smith"/>
    <x v="21"/>
    <x v="2"/>
    <s v="Bachelor's"/>
    <s v="Dallas"/>
    <x v="2"/>
    <s v="Senior Engineer"/>
    <x v="0"/>
    <x v="561"/>
    <x v="3"/>
    <n v="3"/>
    <n v="5"/>
    <x v="0"/>
    <x v="0"/>
    <x v="3"/>
    <x v="1"/>
    <n v="23"/>
    <n v="27"/>
    <n v="75751"/>
    <n v="8800"/>
    <n v="15"/>
    <x v="1"/>
  </r>
  <r>
    <s v="EMP1721"/>
    <s v="James Jones"/>
    <x v="21"/>
    <x v="2"/>
    <s v="Master's"/>
    <s v="Phoenix"/>
    <x v="1"/>
    <s v="Sales Manager"/>
    <x v="0"/>
    <x v="562"/>
    <x v="3"/>
    <n v="3"/>
    <n v="4"/>
    <x v="3"/>
    <x v="2"/>
    <x v="3"/>
    <x v="0"/>
    <n v="1"/>
    <n v="60"/>
    <n v="74480"/>
    <n v="4400"/>
    <n v="14.1"/>
    <x v="0"/>
  </r>
  <r>
    <s v="EMP1722"/>
    <s v="Lisa Gonzalez"/>
    <x v="3"/>
    <x v="1"/>
    <s v="Diploma"/>
    <s v="Philadelphia"/>
    <x v="7"/>
    <s v="IT Manager"/>
    <x v="1"/>
    <x v="563"/>
    <x v="3"/>
    <n v="3"/>
    <n v="7"/>
    <x v="2"/>
    <x v="4"/>
    <x v="0"/>
    <x v="1"/>
    <n v="22"/>
    <n v="21"/>
    <n v="61559"/>
    <n v="12700"/>
    <n v="14.1"/>
    <x v="0"/>
  </r>
  <r>
    <s v="EMP1723"/>
    <s v="Lisa Martinez"/>
    <x v="8"/>
    <x v="1"/>
    <s v="PhD"/>
    <s v="San Diego"/>
    <x v="3"/>
    <s v="Operations Analyst"/>
    <x v="0"/>
    <x v="564"/>
    <x v="3"/>
    <n v="3"/>
    <n v="7"/>
    <x v="3"/>
    <x v="4"/>
    <x v="3"/>
    <x v="0"/>
    <n v="19"/>
    <n v="17"/>
    <n v="60349"/>
    <n v="4600"/>
    <n v="5.4"/>
    <x v="0"/>
  </r>
  <r>
    <s v="EMP1724"/>
    <s v="Mark Lopez"/>
    <x v="7"/>
    <x v="2"/>
    <s v="Bachelor's"/>
    <s v="Chicago"/>
    <x v="6"/>
    <s v="HR Executive"/>
    <x v="0"/>
    <x v="504"/>
    <x v="1"/>
    <n v="2"/>
    <n v="10"/>
    <x v="3"/>
    <x v="4"/>
    <x v="1"/>
    <x v="0"/>
    <n v="2"/>
    <n v="20"/>
    <n v="44146"/>
    <n v="2700"/>
    <n v="7.5"/>
    <x v="0"/>
  </r>
  <r>
    <s v="EMP1725"/>
    <s v="Richard Johnson"/>
    <x v="2"/>
    <x v="2"/>
    <s v="Master's"/>
    <s v="San Jose"/>
    <x v="7"/>
    <s v="Network Engineer"/>
    <x v="1"/>
    <x v="521"/>
    <x v="2"/>
    <n v="0"/>
    <n v="6"/>
    <x v="0"/>
    <x v="4"/>
    <x v="3"/>
    <x v="1"/>
    <n v="19"/>
    <n v="68"/>
    <n v="101774"/>
    <n v="13100"/>
    <n v="14.4"/>
    <x v="0"/>
  </r>
  <r>
    <s v="EMP1726"/>
    <s v="Susan Williams"/>
    <x v="0"/>
    <x v="1"/>
    <s v="Diploma"/>
    <s v="San Jose"/>
    <x v="7"/>
    <s v="Network Engineer"/>
    <x v="0"/>
    <x v="565"/>
    <x v="2"/>
    <n v="0"/>
    <n v="9"/>
    <x v="2"/>
    <x v="0"/>
    <x v="1"/>
    <x v="0"/>
    <n v="7"/>
    <n v="68"/>
    <n v="56312"/>
    <n v="10300"/>
    <n v="12.3"/>
    <x v="0"/>
  </r>
  <r>
    <s v="EMP1727"/>
    <s v="Susan Anderson"/>
    <x v="6"/>
    <x v="1"/>
    <s v="Diploma"/>
    <s v="Houston"/>
    <x v="0"/>
    <s v="Financial Analyst"/>
    <x v="0"/>
    <x v="566"/>
    <x v="1"/>
    <n v="2"/>
    <n v="6"/>
    <x v="2"/>
    <x v="1"/>
    <x v="4"/>
    <x v="1"/>
    <n v="16"/>
    <n v="68"/>
    <n v="107359"/>
    <n v="25000"/>
    <n v="9.1"/>
    <x v="0"/>
  </r>
  <r>
    <s v="EMP1728"/>
    <s v="David Rodriguez"/>
    <x v="4"/>
    <x v="2"/>
    <s v="Diploma"/>
    <s v="San Diego"/>
    <x v="2"/>
    <s v="Software Engineer"/>
    <x v="0"/>
    <x v="567"/>
    <x v="1"/>
    <n v="2"/>
    <n v="14"/>
    <x v="2"/>
    <x v="2"/>
    <x v="1"/>
    <x v="0"/>
    <n v="23"/>
    <n v="41"/>
    <n v="96909"/>
    <n v="21600"/>
    <n v="11.4"/>
    <x v="1"/>
  </r>
  <r>
    <s v="EMP1729"/>
    <s v="William Wilson"/>
    <x v="27"/>
    <x v="2"/>
    <s v="PhD"/>
    <s v="San Jose"/>
    <x v="1"/>
    <s v="Business Development Rep"/>
    <x v="0"/>
    <x v="212"/>
    <x v="0"/>
    <n v="1"/>
    <n v="1"/>
    <x v="2"/>
    <x v="0"/>
    <x v="2"/>
    <x v="1"/>
    <n v="3"/>
    <n v="56"/>
    <n v="90277"/>
    <n v="20300"/>
    <n v="3.4"/>
    <x v="0"/>
  </r>
  <r>
    <s v="EMP1730"/>
    <s v="Christopher Lopez"/>
    <x v="20"/>
    <x v="2"/>
    <s v="Bachelor's"/>
    <s v="Dallas"/>
    <x v="3"/>
    <s v="Supply Chain Analyst"/>
    <x v="2"/>
    <x v="40"/>
    <x v="3"/>
    <n v="3"/>
    <n v="12"/>
    <x v="3"/>
    <x v="2"/>
    <x v="0"/>
    <x v="0"/>
    <n v="17"/>
    <n v="61"/>
    <n v="52546"/>
    <n v="3700"/>
    <n v="6.5"/>
    <x v="0"/>
  </r>
  <r>
    <s v="EMP1731"/>
    <s v="Mark Gonzalez"/>
    <x v="23"/>
    <x v="2"/>
    <s v="Master's"/>
    <s v="New York"/>
    <x v="5"/>
    <s v="Content Strategist"/>
    <x v="0"/>
    <x v="568"/>
    <x v="3"/>
    <n v="3"/>
    <n v="10"/>
    <x v="0"/>
    <x v="3"/>
    <x v="3"/>
    <x v="0"/>
    <n v="12"/>
    <n v="44"/>
    <n v="47782"/>
    <n v="5700"/>
    <n v="9.1"/>
    <x v="0"/>
  </r>
  <r>
    <s v="EMP1732"/>
    <s v="Daniel Rodriguez"/>
    <x v="5"/>
    <x v="2"/>
    <s v="Master's"/>
    <s v="New York"/>
    <x v="0"/>
    <s v="Accountant"/>
    <x v="0"/>
    <x v="569"/>
    <x v="0"/>
    <n v="1"/>
    <n v="13"/>
    <x v="0"/>
    <x v="0"/>
    <x v="0"/>
    <x v="1"/>
    <n v="12"/>
    <n v="5"/>
    <n v="70453"/>
    <n v="9500"/>
    <n v="9.1"/>
    <x v="0"/>
  </r>
  <r>
    <s v="EMP1733"/>
    <s v="Mary Miller"/>
    <x v="22"/>
    <x v="1"/>
    <s v="Master's"/>
    <s v="Dallas"/>
    <x v="4"/>
    <s v="Support Executive"/>
    <x v="0"/>
    <x v="570"/>
    <x v="1"/>
    <n v="2"/>
    <n v="20"/>
    <x v="3"/>
    <x v="1"/>
    <x v="1"/>
    <x v="1"/>
    <n v="8"/>
    <n v="6"/>
    <n v="46635"/>
    <n v="2600"/>
    <n v="10.5"/>
    <x v="0"/>
  </r>
  <r>
    <s v="EMP1734"/>
    <s v="Barbara Wilson"/>
    <x v="1"/>
    <x v="1"/>
    <s v="Master's"/>
    <s v="Houston"/>
    <x v="1"/>
    <s v="Sales Executive"/>
    <x v="0"/>
    <x v="571"/>
    <x v="3"/>
    <n v="3"/>
    <n v="1"/>
    <x v="1"/>
    <x v="0"/>
    <x v="0"/>
    <x v="0"/>
    <n v="20"/>
    <n v="8"/>
    <n v="61951"/>
    <n v="2000"/>
    <n v="9.6"/>
    <x v="0"/>
  </r>
  <r>
    <s v="EMP1735"/>
    <s v="Robert Hernandez"/>
    <x v="20"/>
    <x v="2"/>
    <s v="Master's"/>
    <s v="Houston"/>
    <x v="6"/>
    <s v="L&amp;D Specialist"/>
    <x v="2"/>
    <x v="572"/>
    <x v="3"/>
    <n v="3"/>
    <n v="13"/>
    <x v="0"/>
    <x v="0"/>
    <x v="4"/>
    <x v="0"/>
    <n v="23"/>
    <n v="67"/>
    <n v="74191"/>
    <n v="9500"/>
    <n v="11.8"/>
    <x v="0"/>
  </r>
  <r>
    <s v="EMP1736"/>
    <s v="William Gonzalez"/>
    <x v="21"/>
    <x v="2"/>
    <s v="Bachelor's"/>
    <s v="New York"/>
    <x v="0"/>
    <s v="Controller"/>
    <x v="0"/>
    <x v="573"/>
    <x v="0"/>
    <n v="1"/>
    <n v="2"/>
    <x v="0"/>
    <x v="0"/>
    <x v="4"/>
    <x v="1"/>
    <n v="10"/>
    <n v="69"/>
    <n v="96394"/>
    <n v="10900"/>
    <n v="12"/>
    <x v="0"/>
  </r>
  <r>
    <s v="EMP1737"/>
    <s v="Anthony Anderson"/>
    <x v="25"/>
    <x v="2"/>
    <s v="Bachelor's"/>
    <s v="New York"/>
    <x v="5"/>
    <s v="Marketing Manager"/>
    <x v="0"/>
    <x v="8"/>
    <x v="3"/>
    <n v="3"/>
    <n v="16"/>
    <x v="3"/>
    <x v="1"/>
    <x v="4"/>
    <x v="1"/>
    <n v="7"/>
    <n v="71"/>
    <n v="63336"/>
    <n v="4500"/>
    <n v="14.5"/>
    <x v="0"/>
  </r>
  <r>
    <s v="EMP1738"/>
    <s v="Barbara Garcia"/>
    <x v="15"/>
    <x v="1"/>
    <s v="Bachelor's"/>
    <s v="Philadelphia"/>
    <x v="1"/>
    <s v="Sales Manager"/>
    <x v="0"/>
    <x v="574"/>
    <x v="1"/>
    <n v="2"/>
    <n v="2"/>
    <x v="0"/>
    <x v="2"/>
    <x v="4"/>
    <x v="0"/>
    <n v="18"/>
    <n v="40"/>
    <n v="90011"/>
    <n v="12900"/>
    <n v="6.5"/>
    <x v="0"/>
  </r>
  <r>
    <s v="EMP1739"/>
    <s v="Michael Gonzalez"/>
    <x v="14"/>
    <x v="2"/>
    <s v="Master's"/>
    <s v="Houston"/>
    <x v="2"/>
    <s v="Software Engineer"/>
    <x v="0"/>
    <x v="375"/>
    <x v="1"/>
    <n v="2"/>
    <n v="4"/>
    <x v="0"/>
    <x v="0"/>
    <x v="2"/>
    <x v="1"/>
    <n v="20"/>
    <n v="41"/>
    <n v="86223"/>
    <n v="10800"/>
    <n v="5.4"/>
    <x v="0"/>
  </r>
  <r>
    <s v="EMP1740"/>
    <s v="Richard Wilson"/>
    <x v="14"/>
    <x v="2"/>
    <s v="Master's"/>
    <s v="Dallas"/>
    <x v="2"/>
    <s v="Senior Engineer"/>
    <x v="2"/>
    <x v="575"/>
    <x v="3"/>
    <n v="3"/>
    <n v="3"/>
    <x v="1"/>
    <x v="1"/>
    <x v="3"/>
    <x v="1"/>
    <n v="6"/>
    <n v="3"/>
    <n v="112918"/>
    <n v="2800"/>
    <n v="14.5"/>
    <x v="0"/>
  </r>
  <r>
    <s v="EMP1741"/>
    <s v="Elizabeth Gonzalez"/>
    <x v="3"/>
    <x v="1"/>
    <s v="Diploma"/>
    <s v="San Jose"/>
    <x v="0"/>
    <s v="Financial Analyst"/>
    <x v="0"/>
    <x v="381"/>
    <x v="2"/>
    <n v="0"/>
    <n v="5"/>
    <x v="3"/>
    <x v="4"/>
    <x v="1"/>
    <x v="1"/>
    <n v="19"/>
    <n v="27"/>
    <n v="71016"/>
    <n v="4600"/>
    <n v="10.6"/>
    <x v="0"/>
  </r>
  <r>
    <s v="EMP1742"/>
    <s v="Matthew Garcia"/>
    <x v="14"/>
    <x v="2"/>
    <s v="PhD"/>
    <s v="San Antonio"/>
    <x v="4"/>
    <s v="Support Analyst"/>
    <x v="0"/>
    <x v="576"/>
    <x v="1"/>
    <n v="2"/>
    <n v="10"/>
    <x v="0"/>
    <x v="3"/>
    <x v="1"/>
    <x v="0"/>
    <n v="18"/>
    <n v="17"/>
    <n v="63535"/>
    <n v="8500"/>
    <n v="6.4"/>
    <x v="0"/>
  </r>
  <r>
    <s v="EMP1743"/>
    <s v="Anthony Lopez"/>
    <x v="22"/>
    <x v="2"/>
    <s v="Bachelor's"/>
    <s v="Phoenix"/>
    <x v="2"/>
    <s v="DevOps Engineer"/>
    <x v="0"/>
    <x v="482"/>
    <x v="1"/>
    <n v="2"/>
    <n v="20"/>
    <x v="0"/>
    <x v="2"/>
    <x v="2"/>
    <x v="1"/>
    <n v="23"/>
    <n v="5"/>
    <n v="101475"/>
    <n v="11400"/>
    <n v="8"/>
    <x v="1"/>
  </r>
  <r>
    <s v="EMP1744"/>
    <s v="Betty Gonzalez"/>
    <x v="5"/>
    <x v="1"/>
    <s v="Bachelor's"/>
    <s v="New York"/>
    <x v="0"/>
    <s v="Accountant"/>
    <x v="1"/>
    <x v="577"/>
    <x v="0"/>
    <n v="1"/>
    <n v="13"/>
    <x v="3"/>
    <x v="0"/>
    <x v="1"/>
    <x v="1"/>
    <n v="16"/>
    <n v="26"/>
    <n v="106821"/>
    <n v="7500"/>
    <n v="4.2"/>
    <x v="0"/>
  </r>
  <r>
    <s v="EMP1745"/>
    <s v="Mark Martinez"/>
    <x v="0"/>
    <x v="2"/>
    <s v="Bachelor's"/>
    <s v="San Antonio"/>
    <x v="2"/>
    <s v="Tech Lead"/>
    <x v="0"/>
    <x v="578"/>
    <x v="3"/>
    <n v="3"/>
    <n v="5"/>
    <x v="2"/>
    <x v="0"/>
    <x v="2"/>
    <x v="1"/>
    <n v="18"/>
    <n v="13"/>
    <n v="97899"/>
    <n v="17000"/>
    <n v="5.6"/>
    <x v="0"/>
  </r>
  <r>
    <s v="EMP1746"/>
    <s v="Jessica Miller"/>
    <x v="4"/>
    <x v="1"/>
    <s v="Bachelor's"/>
    <s v="Houston"/>
    <x v="7"/>
    <s v="Systems Administrator"/>
    <x v="0"/>
    <x v="266"/>
    <x v="1"/>
    <n v="2"/>
    <n v="17"/>
    <x v="2"/>
    <x v="0"/>
    <x v="2"/>
    <x v="1"/>
    <n v="21"/>
    <n v="70"/>
    <n v="57643"/>
    <n v="10600"/>
    <n v="9.6999999999999993"/>
    <x v="0"/>
  </r>
  <r>
    <s v="EMP1747"/>
    <s v="Michael Brown"/>
    <x v="24"/>
    <x v="2"/>
    <s v="Bachelor's"/>
    <s v="San Jose"/>
    <x v="3"/>
    <s v="Operations Manager"/>
    <x v="0"/>
    <x v="579"/>
    <x v="0"/>
    <n v="1"/>
    <n v="4"/>
    <x v="0"/>
    <x v="1"/>
    <x v="4"/>
    <x v="1"/>
    <n v="9"/>
    <n v="73"/>
    <n v="69285"/>
    <n v="9000"/>
    <n v="10.3"/>
    <x v="1"/>
  </r>
  <r>
    <s v="EMP1748"/>
    <s v="Nancy Davis"/>
    <x v="0"/>
    <x v="1"/>
    <s v="PhD"/>
    <s v="Phoenix"/>
    <x v="6"/>
    <s v="HR Manager"/>
    <x v="2"/>
    <x v="580"/>
    <x v="0"/>
    <n v="1"/>
    <n v="6"/>
    <x v="0"/>
    <x v="2"/>
    <x v="0"/>
    <x v="1"/>
    <n v="23"/>
    <n v="58"/>
    <n v="77538"/>
    <n v="9800"/>
    <n v="12.2"/>
    <x v="0"/>
  </r>
  <r>
    <s v="EMP1749"/>
    <s v="Barbara Williams"/>
    <x v="25"/>
    <x v="1"/>
    <s v="Bachelor's"/>
    <s v="Houston"/>
    <x v="5"/>
    <s v="Marketing Analyst"/>
    <x v="1"/>
    <x v="73"/>
    <x v="0"/>
    <n v="1"/>
    <n v="19"/>
    <x v="2"/>
    <x v="0"/>
    <x v="1"/>
    <x v="1"/>
    <n v="5"/>
    <n v="28"/>
    <n v="82050"/>
    <n v="13300"/>
    <n v="9"/>
    <x v="0"/>
  </r>
  <r>
    <s v="EMP1750"/>
    <s v="Betty Miller"/>
    <x v="21"/>
    <x v="1"/>
    <s v="Master's"/>
    <s v="New York"/>
    <x v="2"/>
    <s v="Tech Lead"/>
    <x v="0"/>
    <x v="581"/>
    <x v="2"/>
    <n v="0"/>
    <n v="2"/>
    <x v="1"/>
    <x v="0"/>
    <x v="3"/>
    <x v="1"/>
    <n v="9"/>
    <n v="71"/>
    <n v="73009"/>
    <n v="2200"/>
    <n v="7.8"/>
    <x v="1"/>
  </r>
  <r>
    <s v="EMP1751"/>
    <s v="Michael Garcia"/>
    <x v="5"/>
    <x v="2"/>
    <s v="Master's"/>
    <s v="Los Angeles"/>
    <x v="2"/>
    <s v="Senior Engineer"/>
    <x v="1"/>
    <x v="582"/>
    <x v="0"/>
    <n v="1"/>
    <n v="17"/>
    <x v="3"/>
    <x v="2"/>
    <x v="0"/>
    <x v="1"/>
    <n v="13"/>
    <n v="43"/>
    <n v="72293"/>
    <n v="6000"/>
    <n v="12.9"/>
    <x v="0"/>
  </r>
  <r>
    <s v="EMP1752"/>
    <s v="Margaret Gonzalez"/>
    <x v="12"/>
    <x v="1"/>
    <s v="Master's"/>
    <s v="Los Angeles"/>
    <x v="7"/>
    <s v="IT Analyst"/>
    <x v="1"/>
    <x v="161"/>
    <x v="1"/>
    <n v="2"/>
    <n v="12"/>
    <x v="3"/>
    <x v="0"/>
    <x v="1"/>
    <x v="1"/>
    <n v="17"/>
    <n v="61"/>
    <n v="83452"/>
    <n v="4900"/>
    <n v="9.6"/>
    <x v="0"/>
  </r>
  <r>
    <s v="EMP1753"/>
    <s v="Anthony Hernandez"/>
    <x v="25"/>
    <x v="2"/>
    <s v="Master's"/>
    <s v="Phoenix"/>
    <x v="2"/>
    <s v="DevOps Engineer"/>
    <x v="2"/>
    <x v="537"/>
    <x v="1"/>
    <n v="2"/>
    <n v="17"/>
    <x v="0"/>
    <x v="3"/>
    <x v="1"/>
    <x v="0"/>
    <n v="0"/>
    <n v="21"/>
    <n v="85753"/>
    <n v="9000"/>
    <n v="6.2"/>
    <x v="0"/>
  </r>
  <r>
    <s v="EMP1754"/>
    <s v="Mary Smith"/>
    <x v="6"/>
    <x v="1"/>
    <s v="High School"/>
    <s v="San Jose"/>
    <x v="5"/>
    <s v="SEO Specialist"/>
    <x v="0"/>
    <x v="437"/>
    <x v="2"/>
    <n v="0"/>
    <n v="13"/>
    <x v="3"/>
    <x v="1"/>
    <x v="1"/>
    <x v="1"/>
    <n v="2"/>
    <n v="48"/>
    <n v="52653"/>
    <n v="4100"/>
    <n v="9"/>
    <x v="1"/>
  </r>
  <r>
    <s v="EMP1755"/>
    <s v="Barbara Johnson"/>
    <x v="21"/>
    <x v="1"/>
    <s v="Bachelor's"/>
    <s v="San Antonio"/>
    <x v="7"/>
    <s v="IT Analyst"/>
    <x v="0"/>
    <x v="163"/>
    <x v="0"/>
    <n v="1"/>
    <n v="3"/>
    <x v="3"/>
    <x v="1"/>
    <x v="4"/>
    <x v="1"/>
    <n v="7"/>
    <n v="35"/>
    <n v="81724"/>
    <n v="6600"/>
    <n v="9.3000000000000007"/>
    <x v="0"/>
  </r>
  <r>
    <s v="EMP1756"/>
    <s v="Joseph Davis"/>
    <x v="10"/>
    <x v="2"/>
    <s v="Bachelor's"/>
    <s v="Chicago"/>
    <x v="0"/>
    <s v="Accountant"/>
    <x v="0"/>
    <x v="330"/>
    <x v="2"/>
    <n v="0"/>
    <n v="13"/>
    <x v="3"/>
    <x v="2"/>
    <x v="1"/>
    <x v="0"/>
    <n v="23"/>
    <n v="62"/>
    <n v="84427"/>
    <n v="6400"/>
    <n v="12.2"/>
    <x v="0"/>
  </r>
  <r>
    <s v="EMP1757"/>
    <s v="Sandra Smith"/>
    <x v="4"/>
    <x v="1"/>
    <s v="PhD"/>
    <s v="Houston"/>
    <x v="5"/>
    <s v="SEO Specialist"/>
    <x v="0"/>
    <x v="583"/>
    <x v="1"/>
    <n v="2"/>
    <n v="20"/>
    <x v="2"/>
    <x v="0"/>
    <x v="1"/>
    <x v="1"/>
    <n v="4"/>
    <n v="40"/>
    <n v="62271"/>
    <n v="14600"/>
    <n v="11.1"/>
    <x v="0"/>
  </r>
  <r>
    <s v="EMP1758"/>
    <s v="Jennifer Brown"/>
    <x v="11"/>
    <x v="1"/>
    <s v="Diploma"/>
    <s v="San Jose"/>
    <x v="2"/>
    <s v="Tech Lead"/>
    <x v="0"/>
    <x v="377"/>
    <x v="0"/>
    <n v="1"/>
    <n v="15"/>
    <x v="2"/>
    <x v="4"/>
    <x v="1"/>
    <x v="0"/>
    <n v="7"/>
    <n v="54"/>
    <n v="130850"/>
    <n v="29800"/>
    <n v="13.8"/>
    <x v="0"/>
  </r>
  <r>
    <s v="EMP1759"/>
    <s v="Lisa Garcia"/>
    <x v="11"/>
    <x v="1"/>
    <s v="Bachelor's"/>
    <s v="New York"/>
    <x v="1"/>
    <s v="Sales Manager"/>
    <x v="0"/>
    <x v="346"/>
    <x v="1"/>
    <n v="2"/>
    <n v="18"/>
    <x v="0"/>
    <x v="0"/>
    <x v="0"/>
    <x v="0"/>
    <n v="10"/>
    <n v="6"/>
    <n v="57477"/>
    <n v="5700"/>
    <n v="11"/>
    <x v="0"/>
  </r>
  <r>
    <s v="EMP1760"/>
    <s v="Barbara Rodriguez"/>
    <x v="3"/>
    <x v="1"/>
    <s v="High School"/>
    <s v="Chicago"/>
    <x v="2"/>
    <s v="Senior Engineer"/>
    <x v="1"/>
    <x v="584"/>
    <x v="3"/>
    <n v="3"/>
    <n v="9"/>
    <x v="0"/>
    <x v="4"/>
    <x v="0"/>
    <x v="1"/>
    <n v="5"/>
    <n v="23"/>
    <n v="100999"/>
    <n v="13000"/>
    <n v="13"/>
    <x v="0"/>
  </r>
  <r>
    <s v="EMP1761"/>
    <s v="Robert Hernandez"/>
    <x v="17"/>
    <x v="2"/>
    <s v="PhD"/>
    <s v="Philadelphia"/>
    <x v="3"/>
    <s v="Operations Analyst"/>
    <x v="0"/>
    <x v="563"/>
    <x v="3"/>
    <n v="3"/>
    <n v="19"/>
    <x v="0"/>
    <x v="4"/>
    <x v="0"/>
    <x v="1"/>
    <n v="14"/>
    <n v="29"/>
    <n v="51706"/>
    <n v="5600"/>
    <n v="14.2"/>
    <x v="0"/>
  </r>
  <r>
    <s v="EMP1762"/>
    <s v="Linda Wilson"/>
    <x v="5"/>
    <x v="1"/>
    <s v="Master's"/>
    <s v="San Diego"/>
    <x v="6"/>
    <s v="L&amp;D Specialist"/>
    <x v="0"/>
    <x v="100"/>
    <x v="1"/>
    <n v="2"/>
    <n v="17"/>
    <x v="0"/>
    <x v="2"/>
    <x v="0"/>
    <x v="1"/>
    <n v="23"/>
    <n v="54"/>
    <n v="60869"/>
    <n v="6800"/>
    <n v="9.9"/>
    <x v="0"/>
  </r>
  <r>
    <s v="EMP1763"/>
    <s v="Patricia Davis"/>
    <x v="12"/>
    <x v="1"/>
    <s v="Bachelor's"/>
    <s v="San Antonio"/>
    <x v="3"/>
    <s v="Logistics Coordinator"/>
    <x v="0"/>
    <x v="585"/>
    <x v="2"/>
    <n v="0"/>
    <n v="13"/>
    <x v="0"/>
    <x v="1"/>
    <x v="3"/>
    <x v="1"/>
    <n v="5"/>
    <n v="28"/>
    <n v="71547"/>
    <n v="9600"/>
    <n v="13.3"/>
    <x v="1"/>
  </r>
  <r>
    <s v="EMP1764"/>
    <s v="Robert Johnson"/>
    <x v="0"/>
    <x v="2"/>
    <s v="PhD"/>
    <s v="Chicago"/>
    <x v="2"/>
    <s v="Tech Lead"/>
    <x v="0"/>
    <x v="526"/>
    <x v="2"/>
    <n v="0"/>
    <n v="12"/>
    <x v="1"/>
    <x v="2"/>
    <x v="3"/>
    <x v="0"/>
    <n v="10"/>
    <n v="72"/>
    <n v="128626"/>
    <n v="4100"/>
    <n v="7.9"/>
    <x v="1"/>
  </r>
  <r>
    <s v="EMP1765"/>
    <s v="Reese Smith"/>
    <x v="22"/>
    <x v="0"/>
    <s v="Bachelor's"/>
    <s v="New York"/>
    <x v="5"/>
    <s v="SEO Specialist"/>
    <x v="1"/>
    <x v="501"/>
    <x v="0"/>
    <n v="1"/>
    <n v="20"/>
    <x v="3"/>
    <x v="0"/>
    <x v="0"/>
    <x v="1"/>
    <n v="13"/>
    <n v="76"/>
    <n v="80830"/>
    <n v="6700"/>
    <n v="4.5"/>
    <x v="0"/>
  </r>
  <r>
    <s v="EMP1766"/>
    <s v="William Hernandez"/>
    <x v="5"/>
    <x v="2"/>
    <s v="Master's"/>
    <s v="New York"/>
    <x v="4"/>
    <s v="Customer Success Manager"/>
    <x v="0"/>
    <x v="586"/>
    <x v="1"/>
    <n v="2"/>
    <n v="11"/>
    <x v="0"/>
    <x v="4"/>
    <x v="1"/>
    <x v="1"/>
    <n v="11"/>
    <n v="22"/>
    <n v="37163"/>
    <n v="4100"/>
    <n v="8.4"/>
    <x v="0"/>
  </r>
  <r>
    <s v="EMP1767"/>
    <s v="Susan Davis"/>
    <x v="12"/>
    <x v="1"/>
    <s v="Bachelor's"/>
    <s v="San Diego"/>
    <x v="2"/>
    <s v="Senior Engineer"/>
    <x v="0"/>
    <x v="587"/>
    <x v="2"/>
    <n v="0"/>
    <n v="18"/>
    <x v="0"/>
    <x v="2"/>
    <x v="2"/>
    <x v="1"/>
    <n v="12"/>
    <n v="69"/>
    <n v="129245"/>
    <n v="17200"/>
    <n v="14.6"/>
    <x v="1"/>
  </r>
  <r>
    <s v="EMP1768"/>
    <s v="Karen Anderson"/>
    <x v="15"/>
    <x v="1"/>
    <s v="Bachelor's"/>
    <s v="Dallas"/>
    <x v="0"/>
    <s v="Finance Manager"/>
    <x v="0"/>
    <x v="588"/>
    <x v="2"/>
    <n v="0"/>
    <n v="5"/>
    <x v="2"/>
    <x v="0"/>
    <x v="3"/>
    <x v="1"/>
    <n v="11"/>
    <n v="6"/>
    <n v="92801"/>
    <n v="22200"/>
    <n v="3.5"/>
    <x v="0"/>
  </r>
  <r>
    <s v="EMP1769"/>
    <s v="Lisa Anderson"/>
    <x v="9"/>
    <x v="1"/>
    <s v="Master's"/>
    <s v="Philadelphia"/>
    <x v="1"/>
    <s v="Account Manager"/>
    <x v="2"/>
    <x v="313"/>
    <x v="0"/>
    <n v="1"/>
    <n v="20"/>
    <x v="2"/>
    <x v="3"/>
    <x v="4"/>
    <x v="0"/>
    <n v="5"/>
    <n v="67"/>
    <n v="82302"/>
    <n v="17600"/>
    <n v="5"/>
    <x v="0"/>
  </r>
  <r>
    <s v="EMP1770"/>
    <s v="Richard Brown"/>
    <x v="13"/>
    <x v="2"/>
    <s v="Bachelor's"/>
    <s v="San Antonio"/>
    <x v="7"/>
    <s v="Systems Administrator"/>
    <x v="2"/>
    <x v="589"/>
    <x v="1"/>
    <n v="2"/>
    <n v="20"/>
    <x v="0"/>
    <x v="0"/>
    <x v="3"/>
    <x v="0"/>
    <n v="17"/>
    <n v="73"/>
    <n v="71162"/>
    <n v="7300"/>
    <n v="9.4"/>
    <x v="0"/>
  </r>
  <r>
    <s v="EMP1771"/>
    <s v="Robert Jones"/>
    <x v="3"/>
    <x v="2"/>
    <s v="Master's"/>
    <s v="San Jose"/>
    <x v="6"/>
    <s v="HR Executive"/>
    <x v="0"/>
    <x v="448"/>
    <x v="3"/>
    <n v="3"/>
    <n v="11"/>
    <x v="3"/>
    <x v="2"/>
    <x v="3"/>
    <x v="1"/>
    <n v="22"/>
    <n v="28"/>
    <n v="62143"/>
    <n v="5100"/>
    <n v="5.0999999999999996"/>
    <x v="0"/>
  </r>
  <r>
    <s v="EMP1772"/>
    <s v="Betty Hernandez"/>
    <x v="23"/>
    <x v="1"/>
    <s v="Master's"/>
    <s v="Dallas"/>
    <x v="2"/>
    <s v="Tech Lead"/>
    <x v="0"/>
    <x v="414"/>
    <x v="0"/>
    <n v="1"/>
    <n v="17"/>
    <x v="0"/>
    <x v="2"/>
    <x v="4"/>
    <x v="1"/>
    <n v="24"/>
    <n v="62"/>
    <n v="121277"/>
    <n v="11800"/>
    <n v="10.7"/>
    <x v="0"/>
  </r>
  <r>
    <s v="EMP1773"/>
    <s v="Linda Smith"/>
    <x v="4"/>
    <x v="1"/>
    <s v="Diploma"/>
    <s v="Chicago"/>
    <x v="1"/>
    <s v="Account Manager"/>
    <x v="0"/>
    <x v="345"/>
    <x v="1"/>
    <n v="2"/>
    <n v="20"/>
    <x v="3"/>
    <x v="2"/>
    <x v="4"/>
    <x v="1"/>
    <n v="18"/>
    <n v="30"/>
    <n v="78574"/>
    <n v="4600"/>
    <n v="13"/>
    <x v="0"/>
  </r>
  <r>
    <s v="EMP1774"/>
    <s v="Patricia Wilson"/>
    <x v="14"/>
    <x v="1"/>
    <s v="Bachelor's"/>
    <s v="San Jose"/>
    <x v="6"/>
    <s v="Recruiter"/>
    <x v="2"/>
    <x v="590"/>
    <x v="0"/>
    <n v="1"/>
    <n v="10"/>
    <x v="2"/>
    <x v="4"/>
    <x v="2"/>
    <x v="0"/>
    <n v="23"/>
    <n v="67"/>
    <n v="69732"/>
    <n v="15800"/>
    <n v="5.4"/>
    <x v="0"/>
  </r>
  <r>
    <s v="EMP1775"/>
    <s v="Richard Davis"/>
    <x v="13"/>
    <x v="2"/>
    <s v="High School"/>
    <s v="New York"/>
    <x v="6"/>
    <s v="HR Executive"/>
    <x v="0"/>
    <x v="591"/>
    <x v="0"/>
    <n v="2"/>
    <n v="20"/>
    <x v="3"/>
    <x v="0"/>
    <x v="2"/>
    <x v="1"/>
    <n v="12"/>
    <n v="78"/>
    <n v="49809"/>
    <n v="3700"/>
    <n v="4.3"/>
    <x v="0"/>
  </r>
  <r>
    <s v="EMP1776"/>
    <s v="Sarah Davis"/>
    <x v="0"/>
    <x v="1"/>
    <s v="Bachelor's"/>
    <s v="Chicago"/>
    <x v="1"/>
    <s v="Sales Executive"/>
    <x v="2"/>
    <x v="194"/>
    <x v="3"/>
    <n v="3"/>
    <n v="5"/>
    <x v="2"/>
    <x v="3"/>
    <x v="0"/>
    <x v="1"/>
    <n v="24"/>
    <n v="54"/>
    <n v="68657"/>
    <n v="15600"/>
    <n v="9.3000000000000007"/>
    <x v="0"/>
  </r>
  <r>
    <s v="EMP1777"/>
    <s v="David Wilson"/>
    <x v="5"/>
    <x v="2"/>
    <s v="Bachelor's"/>
    <s v="Phoenix"/>
    <x v="7"/>
    <s v="Systems Administrator"/>
    <x v="0"/>
    <x v="592"/>
    <x v="2"/>
    <n v="0"/>
    <n v="15"/>
    <x v="2"/>
    <x v="3"/>
    <x v="0"/>
    <x v="1"/>
    <n v="13"/>
    <n v="46"/>
    <n v="65983"/>
    <n v="14300"/>
    <n v="9.1"/>
    <x v="0"/>
  </r>
  <r>
    <s v="EMP1778"/>
    <s v="Margaret Martinez"/>
    <x v="8"/>
    <x v="1"/>
    <s v="High School"/>
    <s v="New York"/>
    <x v="4"/>
    <s v="Customer Success Manager"/>
    <x v="2"/>
    <x v="593"/>
    <x v="0"/>
    <n v="1"/>
    <n v="5"/>
    <x v="2"/>
    <x v="1"/>
    <x v="3"/>
    <x v="0"/>
    <n v="9"/>
    <n v="47"/>
    <n v="64834"/>
    <n v="10800"/>
    <n v="11.3"/>
    <x v="0"/>
  </r>
  <r>
    <s v="EMP1779"/>
    <s v="Sandra Brown"/>
    <x v="8"/>
    <x v="1"/>
    <s v="Diploma"/>
    <s v="San Antonio"/>
    <x v="5"/>
    <s v="Marketing Manager"/>
    <x v="0"/>
    <x v="246"/>
    <x v="3"/>
    <n v="3"/>
    <n v="4"/>
    <x v="0"/>
    <x v="0"/>
    <x v="1"/>
    <x v="1"/>
    <n v="9"/>
    <n v="38"/>
    <n v="49537"/>
    <n v="5500"/>
    <n v="8.8000000000000007"/>
    <x v="0"/>
  </r>
  <r>
    <s v="EMP1780"/>
    <s v="Sarah Martinez"/>
    <x v="17"/>
    <x v="1"/>
    <s v="Bachelor's"/>
    <s v="San Antonio"/>
    <x v="1"/>
    <s v="Account Manager"/>
    <x v="0"/>
    <x v="594"/>
    <x v="2"/>
    <n v="0"/>
    <n v="20"/>
    <x v="1"/>
    <x v="1"/>
    <x v="3"/>
    <x v="1"/>
    <n v="11"/>
    <n v="65"/>
    <n v="90243"/>
    <n v="2400"/>
    <n v="8.4"/>
    <x v="0"/>
  </r>
  <r>
    <s v="EMP1781"/>
    <s v="Barbara Brown"/>
    <x v="6"/>
    <x v="1"/>
    <s v="PhD"/>
    <s v="New York"/>
    <x v="3"/>
    <s v="Operations Manager"/>
    <x v="0"/>
    <x v="248"/>
    <x v="3"/>
    <n v="3"/>
    <n v="6"/>
    <x v="3"/>
    <x v="2"/>
    <x v="1"/>
    <x v="0"/>
    <n v="1"/>
    <n v="48"/>
    <n v="51937"/>
    <n v="3200"/>
    <n v="3.8"/>
    <x v="0"/>
  </r>
  <r>
    <s v="EMP1782"/>
    <s v="Sarah Brown"/>
    <x v="8"/>
    <x v="1"/>
    <s v="Master's"/>
    <s v="San Diego"/>
    <x v="5"/>
    <s v="Marketing Analyst"/>
    <x v="0"/>
    <x v="483"/>
    <x v="2"/>
    <n v="0"/>
    <n v="6"/>
    <x v="0"/>
    <x v="0"/>
    <x v="4"/>
    <x v="1"/>
    <n v="15"/>
    <n v="59"/>
    <n v="75355"/>
    <n v="9200"/>
    <n v="12.2"/>
    <x v="0"/>
  </r>
  <r>
    <s v="EMP1783"/>
    <s v="David Rodriguez"/>
    <x v="10"/>
    <x v="2"/>
    <s v="Diploma"/>
    <s v="San Diego"/>
    <x v="0"/>
    <s v="Accountant"/>
    <x v="0"/>
    <x v="595"/>
    <x v="0"/>
    <n v="1"/>
    <n v="13"/>
    <x v="0"/>
    <x v="2"/>
    <x v="3"/>
    <x v="1"/>
    <n v="23"/>
    <n v="13"/>
    <n v="57142"/>
    <n v="7200"/>
    <n v="9.1"/>
    <x v="0"/>
  </r>
  <r>
    <s v="EMP1784"/>
    <s v="Anthony Williams"/>
    <x v="23"/>
    <x v="2"/>
    <s v="Bachelor's"/>
    <s v="Chicago"/>
    <x v="5"/>
    <s v="SEO Specialist"/>
    <x v="1"/>
    <x v="596"/>
    <x v="2"/>
    <n v="0"/>
    <n v="16"/>
    <x v="2"/>
    <x v="1"/>
    <x v="4"/>
    <x v="1"/>
    <n v="5"/>
    <n v="22"/>
    <n v="59094"/>
    <n v="13200"/>
    <n v="11.7"/>
    <x v="0"/>
  </r>
  <r>
    <s v="EMP1785"/>
    <s v="Karen Anderson"/>
    <x v="15"/>
    <x v="1"/>
    <s v="Master's"/>
    <s v="Houston"/>
    <x v="2"/>
    <s v="Senior Engineer"/>
    <x v="2"/>
    <x v="597"/>
    <x v="1"/>
    <n v="2"/>
    <n v="6"/>
    <x v="3"/>
    <x v="3"/>
    <x v="4"/>
    <x v="1"/>
    <n v="22"/>
    <n v="31"/>
    <n v="112854"/>
    <n v="8200"/>
    <n v="10.7"/>
    <x v="0"/>
  </r>
  <r>
    <s v="EMP1786"/>
    <s v="William Jones"/>
    <x v="25"/>
    <x v="2"/>
    <s v="Bachelor's"/>
    <s v="San Diego"/>
    <x v="3"/>
    <s v="Operations Manager"/>
    <x v="0"/>
    <x v="372"/>
    <x v="2"/>
    <n v="0"/>
    <n v="15"/>
    <x v="0"/>
    <x v="1"/>
    <x v="3"/>
    <x v="0"/>
    <n v="14"/>
    <n v="77"/>
    <n v="70761"/>
    <n v="10000"/>
    <n v="9.9"/>
    <x v="0"/>
  </r>
  <r>
    <s v="EMP1787"/>
    <s v="Charles Williams"/>
    <x v="15"/>
    <x v="2"/>
    <s v="Bachelor's"/>
    <s v="Philadelphia"/>
    <x v="7"/>
    <s v="Systems Administrator"/>
    <x v="0"/>
    <x v="598"/>
    <x v="2"/>
    <n v="0"/>
    <n v="2"/>
    <x v="0"/>
    <x v="2"/>
    <x v="0"/>
    <x v="1"/>
    <n v="7"/>
    <n v="16"/>
    <n v="94052"/>
    <n v="11400"/>
    <n v="9"/>
    <x v="0"/>
  </r>
  <r>
    <s v="EMP1788"/>
    <s v="Christopher Gonzalez"/>
    <x v="23"/>
    <x v="2"/>
    <s v="Master's"/>
    <s v="San Jose"/>
    <x v="2"/>
    <s v="Senior Engineer"/>
    <x v="2"/>
    <x v="599"/>
    <x v="3"/>
    <n v="3"/>
    <n v="12"/>
    <x v="0"/>
    <x v="4"/>
    <x v="0"/>
    <x v="1"/>
    <n v="16"/>
    <n v="64"/>
    <n v="77115"/>
    <n v="8000"/>
    <n v="13.6"/>
    <x v="0"/>
  </r>
  <r>
    <s v="EMP1789"/>
    <s v="Michael Lopez"/>
    <x v="6"/>
    <x v="2"/>
    <s v="Bachelor's"/>
    <s v="New York"/>
    <x v="6"/>
    <s v="L&amp;D Specialist"/>
    <x v="0"/>
    <x v="600"/>
    <x v="0"/>
    <n v="1"/>
    <n v="12"/>
    <x v="0"/>
    <x v="3"/>
    <x v="4"/>
    <x v="1"/>
    <n v="7"/>
    <n v="49"/>
    <n v="75061"/>
    <n v="7400"/>
    <n v="13.1"/>
    <x v="0"/>
  </r>
  <r>
    <s v="EMP1790"/>
    <s v="Margaret Gonzalez"/>
    <x v="21"/>
    <x v="1"/>
    <s v="PhD"/>
    <s v="San Jose"/>
    <x v="2"/>
    <s v="Software Engineer"/>
    <x v="0"/>
    <x v="573"/>
    <x v="0"/>
    <n v="1"/>
    <n v="3"/>
    <x v="1"/>
    <x v="2"/>
    <x v="4"/>
    <x v="1"/>
    <n v="21"/>
    <n v="3"/>
    <n v="91365"/>
    <n v="3100"/>
    <n v="9.8000000000000007"/>
    <x v="1"/>
  </r>
  <r>
    <s v="EMP1791"/>
    <s v="Joseph Jones"/>
    <x v="15"/>
    <x v="2"/>
    <s v="Master's"/>
    <s v="San Antonio"/>
    <x v="4"/>
    <s v="Support Executive"/>
    <x v="0"/>
    <x v="416"/>
    <x v="1"/>
    <n v="2"/>
    <n v="7"/>
    <x v="2"/>
    <x v="0"/>
    <x v="3"/>
    <x v="0"/>
    <n v="3"/>
    <n v="26"/>
    <n v="50404"/>
    <n v="10800"/>
    <n v="9"/>
    <x v="0"/>
  </r>
  <r>
    <s v="EMP1792"/>
    <s v="Christopher Anderson"/>
    <x v="1"/>
    <x v="2"/>
    <s v="Bachelor's"/>
    <s v="Los Angeles"/>
    <x v="5"/>
    <s v="Marketing Manager"/>
    <x v="0"/>
    <x v="123"/>
    <x v="2"/>
    <n v="0"/>
    <n v="5"/>
    <x v="2"/>
    <x v="1"/>
    <x v="2"/>
    <x v="0"/>
    <n v="4"/>
    <n v="43"/>
    <n v="89134"/>
    <n v="15100"/>
    <n v="7.8"/>
    <x v="0"/>
  </r>
  <r>
    <s v="EMP1793"/>
    <s v="Linda Anderson"/>
    <x v="25"/>
    <x v="1"/>
    <s v="Bachelor's"/>
    <s v="Phoenix"/>
    <x v="4"/>
    <s v="Support Analyst"/>
    <x v="0"/>
    <x v="601"/>
    <x v="1"/>
    <n v="2"/>
    <n v="19"/>
    <x v="0"/>
    <x v="1"/>
    <x v="3"/>
    <x v="1"/>
    <n v="24"/>
    <n v="36"/>
    <n v="46053"/>
    <n v="4500"/>
    <n v="5.0999999999999996"/>
    <x v="0"/>
  </r>
  <r>
    <s v="EMP1794"/>
    <s v="William Smith"/>
    <x v="2"/>
    <x v="2"/>
    <s v="Diploma"/>
    <s v="San Jose"/>
    <x v="4"/>
    <s v="Support Lead"/>
    <x v="0"/>
    <x v="602"/>
    <x v="2"/>
    <n v="0"/>
    <n v="5"/>
    <x v="3"/>
    <x v="3"/>
    <x v="4"/>
    <x v="0"/>
    <n v="23"/>
    <n v="48"/>
    <n v="53888"/>
    <n v="4500"/>
    <n v="4.8"/>
    <x v="0"/>
  </r>
  <r>
    <s v="EMP1795"/>
    <s v="Nancy Hernandez"/>
    <x v="13"/>
    <x v="1"/>
    <s v="Bachelor's"/>
    <s v="Houston"/>
    <x v="2"/>
    <s v="Software Engineer"/>
    <x v="0"/>
    <x v="224"/>
    <x v="3"/>
    <n v="3"/>
    <n v="19"/>
    <x v="3"/>
    <x v="3"/>
    <x v="0"/>
    <x v="0"/>
    <n v="10"/>
    <n v="69"/>
    <n v="135084"/>
    <n v="10500"/>
    <n v="5.7"/>
    <x v="0"/>
  </r>
  <r>
    <s v="EMP1796"/>
    <s v="Matthew Anderson"/>
    <x v="1"/>
    <x v="2"/>
    <s v="Diploma"/>
    <s v="Chicago"/>
    <x v="3"/>
    <s v="Supply Chain Analyst"/>
    <x v="0"/>
    <x v="603"/>
    <x v="1"/>
    <n v="2"/>
    <n v="1"/>
    <x v="2"/>
    <x v="2"/>
    <x v="2"/>
    <x v="1"/>
    <n v="8"/>
    <n v="7"/>
    <n v="55234"/>
    <n v="13200"/>
    <n v="14.2"/>
    <x v="0"/>
  </r>
  <r>
    <s v="EMP1797"/>
    <s v="Mary Davis"/>
    <x v="5"/>
    <x v="1"/>
    <s v="Bachelor's"/>
    <s v="Phoenix"/>
    <x v="2"/>
    <s v="Senior Engineer"/>
    <x v="1"/>
    <x v="604"/>
    <x v="3"/>
    <n v="3"/>
    <n v="19"/>
    <x v="2"/>
    <x v="0"/>
    <x v="1"/>
    <x v="1"/>
    <n v="7"/>
    <n v="36"/>
    <n v="87037"/>
    <n v="15900"/>
    <n v="10.8"/>
    <x v="0"/>
  </r>
  <r>
    <s v="EMP1798"/>
    <s v="John Smith"/>
    <x v="19"/>
    <x v="2"/>
    <s v="Bachelor's"/>
    <s v="Phoenix"/>
    <x v="7"/>
    <s v="IT Analyst"/>
    <x v="0"/>
    <x v="369"/>
    <x v="0"/>
    <n v="1"/>
    <n v="19"/>
    <x v="0"/>
    <x v="0"/>
    <x v="3"/>
    <x v="1"/>
    <n v="8"/>
    <n v="61"/>
    <n v="75202"/>
    <n v="8600"/>
    <n v="10.1"/>
    <x v="0"/>
  </r>
  <r>
    <s v="EMP1799"/>
    <s v="Matthew Jones"/>
    <x v="24"/>
    <x v="2"/>
    <s v="Master's"/>
    <s v="San Antonio"/>
    <x v="5"/>
    <s v="Marketing Analyst"/>
    <x v="0"/>
    <x v="261"/>
    <x v="2"/>
    <n v="0"/>
    <n v="4"/>
    <x v="3"/>
    <x v="1"/>
    <x v="2"/>
    <x v="1"/>
    <n v="12"/>
    <n v="35"/>
    <n v="52766"/>
    <n v="3700"/>
    <n v="3.5"/>
    <x v="1"/>
  </r>
  <r>
    <s v="EMP1800"/>
    <s v="Richard Rodriguez"/>
    <x v="23"/>
    <x v="2"/>
    <s v="PhD"/>
    <s v="Philadelphia"/>
    <x v="3"/>
    <s v="Operations Analyst"/>
    <x v="0"/>
    <x v="170"/>
    <x v="3"/>
    <n v="3"/>
    <n v="17"/>
    <x v="0"/>
    <x v="4"/>
    <x v="1"/>
    <x v="0"/>
    <n v="6"/>
    <n v="65"/>
    <n v="88921"/>
    <n v="9000"/>
    <n v="10.1"/>
    <x v="0"/>
  </r>
  <r>
    <s v="EMP1801"/>
    <s v="John Brown"/>
    <x v="3"/>
    <x v="2"/>
    <s v="Bachelor's"/>
    <s v="Houston"/>
    <x v="2"/>
    <s v="Software Engineer"/>
    <x v="2"/>
    <x v="605"/>
    <x v="3"/>
    <n v="3"/>
    <n v="8"/>
    <x v="3"/>
    <x v="0"/>
    <x v="1"/>
    <x v="1"/>
    <n v="22"/>
    <n v="25"/>
    <n v="76265"/>
    <n v="4900"/>
    <n v="14.6"/>
    <x v="0"/>
  </r>
  <r>
    <s v="EMP1802"/>
    <s v="Richard Williams"/>
    <x v="25"/>
    <x v="2"/>
    <s v="Bachelor's"/>
    <s v="Houston"/>
    <x v="2"/>
    <s v="Software Engineer"/>
    <x v="0"/>
    <x v="606"/>
    <x v="0"/>
    <n v="1"/>
    <n v="17"/>
    <x v="0"/>
    <x v="0"/>
    <x v="2"/>
    <x v="1"/>
    <n v="8"/>
    <n v="55"/>
    <n v="126293"/>
    <n v="15100"/>
    <n v="5.5"/>
    <x v="0"/>
  </r>
  <r>
    <s v="EMP1803"/>
    <s v="Robert Johnson"/>
    <x v="12"/>
    <x v="2"/>
    <s v="PhD"/>
    <s v="Philadelphia"/>
    <x v="6"/>
    <s v="L&amp;D Specialist"/>
    <x v="0"/>
    <x v="263"/>
    <x v="0"/>
    <n v="1"/>
    <n v="17"/>
    <x v="2"/>
    <x v="1"/>
    <x v="1"/>
    <x v="0"/>
    <n v="3"/>
    <n v="6"/>
    <n v="71129"/>
    <n v="11700"/>
    <n v="6.2"/>
    <x v="0"/>
  </r>
  <r>
    <s v="EMP1804"/>
    <s v="Lisa Davis"/>
    <x v="1"/>
    <x v="1"/>
    <s v="Master's"/>
    <s v="Phoenix"/>
    <x v="7"/>
    <s v="Systems Administrator"/>
    <x v="0"/>
    <x v="335"/>
    <x v="3"/>
    <n v="3"/>
    <n v="1"/>
    <x v="3"/>
    <x v="3"/>
    <x v="3"/>
    <x v="1"/>
    <n v="21"/>
    <n v="8"/>
    <n v="90643"/>
    <n v="6500"/>
    <n v="12.8"/>
    <x v="0"/>
  </r>
  <r>
    <s v="EMP1805"/>
    <s v="Mary Jones"/>
    <x v="17"/>
    <x v="1"/>
    <s v="Diploma"/>
    <s v="San Diego"/>
    <x v="5"/>
    <s v="Content Strategist"/>
    <x v="0"/>
    <x v="543"/>
    <x v="3"/>
    <n v="3"/>
    <n v="20"/>
    <x v="3"/>
    <x v="1"/>
    <x v="2"/>
    <x v="0"/>
    <n v="12"/>
    <n v="77"/>
    <n v="70886"/>
    <n v="5000"/>
    <n v="8.9"/>
    <x v="0"/>
  </r>
  <r>
    <s v="EMP1806"/>
    <s v="Mark Miller"/>
    <x v="12"/>
    <x v="2"/>
    <s v="High School"/>
    <s v="Chicago"/>
    <x v="1"/>
    <s v="Account Manager"/>
    <x v="0"/>
    <x v="426"/>
    <x v="3"/>
    <n v="3"/>
    <n v="16"/>
    <x v="0"/>
    <x v="2"/>
    <x v="0"/>
    <x v="1"/>
    <n v="19"/>
    <n v="37"/>
    <n v="76786"/>
    <n v="8400"/>
    <n v="5.8"/>
    <x v="0"/>
  </r>
  <r>
    <s v="EMP1807"/>
    <s v="Avery Gonzalez"/>
    <x v="14"/>
    <x v="0"/>
    <s v="Diploma"/>
    <s v="Chicago"/>
    <x v="5"/>
    <s v="Marketing Analyst"/>
    <x v="0"/>
    <x v="607"/>
    <x v="3"/>
    <n v="3"/>
    <n v="9"/>
    <x v="2"/>
    <x v="4"/>
    <x v="1"/>
    <x v="1"/>
    <n v="5"/>
    <n v="3"/>
    <n v="88274"/>
    <n v="15600"/>
    <n v="3.6"/>
    <x v="0"/>
  </r>
  <r>
    <s v="EMP1808"/>
    <s v="Mark Anderson"/>
    <x v="22"/>
    <x v="2"/>
    <s v="Master's"/>
    <s v="Dallas"/>
    <x v="2"/>
    <s v="Tech Lead"/>
    <x v="0"/>
    <x v="102"/>
    <x v="3"/>
    <n v="3"/>
    <n v="20"/>
    <x v="1"/>
    <x v="3"/>
    <x v="0"/>
    <x v="1"/>
    <n v="0"/>
    <n v="9"/>
    <n v="128796"/>
    <n v="4500"/>
    <n v="4"/>
    <x v="1"/>
  </r>
  <r>
    <s v="EMP1809"/>
    <s v="Barbara Rodriguez"/>
    <x v="14"/>
    <x v="1"/>
    <s v="Diploma"/>
    <s v="Philadelphia"/>
    <x v="6"/>
    <s v="L&amp;D Specialist"/>
    <x v="0"/>
    <x v="93"/>
    <x v="1"/>
    <n v="2"/>
    <n v="4"/>
    <x v="0"/>
    <x v="1"/>
    <x v="0"/>
    <x v="1"/>
    <n v="5"/>
    <n v="7"/>
    <n v="63334"/>
    <n v="8300"/>
    <n v="5.8"/>
    <x v="0"/>
  </r>
  <r>
    <s v="EMP1810"/>
    <s v="James Miller"/>
    <x v="1"/>
    <x v="2"/>
    <s v="PhD"/>
    <s v="Chicago"/>
    <x v="5"/>
    <s v="Marketing Analyst"/>
    <x v="0"/>
    <x v="608"/>
    <x v="2"/>
    <n v="0"/>
    <n v="3"/>
    <x v="0"/>
    <x v="4"/>
    <x v="0"/>
    <x v="1"/>
    <n v="8"/>
    <n v="21"/>
    <n v="69920"/>
    <n v="7700"/>
    <n v="7.8"/>
    <x v="0"/>
  </r>
  <r>
    <s v="EMP1811"/>
    <s v="Sarah Williams"/>
    <x v="12"/>
    <x v="1"/>
    <s v="Master's"/>
    <s v="Los Angeles"/>
    <x v="5"/>
    <s v="SEO Specialist"/>
    <x v="0"/>
    <x v="517"/>
    <x v="2"/>
    <n v="0"/>
    <n v="13"/>
    <x v="0"/>
    <x v="4"/>
    <x v="1"/>
    <x v="1"/>
    <n v="11"/>
    <n v="54"/>
    <n v="48278"/>
    <n v="6000"/>
    <n v="5.8"/>
    <x v="0"/>
  </r>
  <r>
    <s v="EMP1812"/>
    <s v="Thomas Hernandez"/>
    <x v="23"/>
    <x v="2"/>
    <s v="Master's"/>
    <s v="San Antonio"/>
    <x v="2"/>
    <s v="Software Engineer"/>
    <x v="0"/>
    <x v="609"/>
    <x v="1"/>
    <n v="2"/>
    <n v="10"/>
    <x v="3"/>
    <x v="1"/>
    <x v="0"/>
    <x v="1"/>
    <n v="13"/>
    <n v="36"/>
    <n v="113687"/>
    <n v="7500"/>
    <n v="12.3"/>
    <x v="0"/>
  </r>
  <r>
    <s v="EMP1813"/>
    <s v="Michael Lopez"/>
    <x v="1"/>
    <x v="2"/>
    <s v="Master's"/>
    <s v="Chicago"/>
    <x v="1"/>
    <s v="Business Development Rep"/>
    <x v="1"/>
    <x v="10"/>
    <x v="0"/>
    <n v="1"/>
    <n v="1"/>
    <x v="2"/>
    <x v="3"/>
    <x v="0"/>
    <x v="1"/>
    <n v="24"/>
    <n v="31"/>
    <n v="65473"/>
    <n v="12800"/>
    <n v="4.8"/>
    <x v="0"/>
  </r>
  <r>
    <s v="EMP1814"/>
    <s v="Thomas Williams"/>
    <x v="0"/>
    <x v="2"/>
    <s v="Master's"/>
    <s v="San Antonio"/>
    <x v="0"/>
    <s v="Controller"/>
    <x v="0"/>
    <x v="106"/>
    <x v="3"/>
    <n v="3"/>
    <n v="8"/>
    <x v="3"/>
    <x v="2"/>
    <x v="2"/>
    <x v="1"/>
    <n v="19"/>
    <n v="73"/>
    <n v="89911"/>
    <n v="5600"/>
    <n v="3.5"/>
    <x v="0"/>
  </r>
  <r>
    <s v="EMP1815"/>
    <s v="Charles Wilson"/>
    <x v="16"/>
    <x v="2"/>
    <s v="High School"/>
    <s v="San Jose"/>
    <x v="6"/>
    <s v="HR Executive"/>
    <x v="0"/>
    <x v="247"/>
    <x v="3"/>
    <n v="3"/>
    <n v="3"/>
    <x v="0"/>
    <x v="0"/>
    <x v="3"/>
    <x v="1"/>
    <n v="22"/>
    <n v="52"/>
    <n v="47402"/>
    <n v="6300"/>
    <n v="11.7"/>
    <x v="0"/>
  </r>
  <r>
    <s v="EMP1816"/>
    <s v="Joseph Lopez"/>
    <x v="8"/>
    <x v="2"/>
    <s v="Bachelor's"/>
    <s v="Chicago"/>
    <x v="2"/>
    <s v="Software Engineer"/>
    <x v="0"/>
    <x v="279"/>
    <x v="2"/>
    <n v="0"/>
    <n v="6"/>
    <x v="0"/>
    <x v="3"/>
    <x v="4"/>
    <x v="1"/>
    <n v="15"/>
    <n v="18"/>
    <n v="103359"/>
    <n v="12500"/>
    <n v="7.8"/>
    <x v="0"/>
  </r>
  <r>
    <s v="EMP1817"/>
    <s v="John Miller"/>
    <x v="14"/>
    <x v="2"/>
    <s v="Bachelor's"/>
    <s v="Los Angeles"/>
    <x v="3"/>
    <s v="Supply Chain Analyst"/>
    <x v="0"/>
    <x v="610"/>
    <x v="0"/>
    <n v="1"/>
    <n v="7"/>
    <x v="0"/>
    <x v="0"/>
    <x v="4"/>
    <x v="1"/>
    <n v="19"/>
    <n v="68"/>
    <n v="82173"/>
    <n v="11200"/>
    <n v="8.6"/>
    <x v="0"/>
  </r>
  <r>
    <s v="EMP1818"/>
    <s v="Sandra Lopez"/>
    <x v="12"/>
    <x v="1"/>
    <s v="Bachelor's"/>
    <s v="Philadelphia"/>
    <x v="1"/>
    <s v="Sales Executive"/>
    <x v="0"/>
    <x v="611"/>
    <x v="3"/>
    <n v="3"/>
    <n v="18"/>
    <x v="0"/>
    <x v="4"/>
    <x v="2"/>
    <x v="0"/>
    <n v="8"/>
    <n v="69"/>
    <n v="50217"/>
    <n v="5800"/>
    <n v="13.2"/>
    <x v="0"/>
  </r>
  <r>
    <s v="EMP1819"/>
    <s v="Sarah Martinez"/>
    <x v="4"/>
    <x v="1"/>
    <s v="Bachelor's"/>
    <s v="Phoenix"/>
    <x v="3"/>
    <s v="Logistics Coordinator"/>
    <x v="1"/>
    <x v="612"/>
    <x v="1"/>
    <n v="2"/>
    <n v="13"/>
    <x v="0"/>
    <x v="1"/>
    <x v="1"/>
    <x v="1"/>
    <n v="3"/>
    <n v="78"/>
    <n v="78208"/>
    <n v="8700"/>
    <n v="13.7"/>
    <x v="1"/>
  </r>
  <r>
    <s v="EMP1820"/>
    <s v="Lisa Williams"/>
    <x v="4"/>
    <x v="1"/>
    <s v="Bachelor's"/>
    <s v="New York"/>
    <x v="0"/>
    <s v="Finance Manager"/>
    <x v="0"/>
    <x v="613"/>
    <x v="3"/>
    <n v="3"/>
    <n v="16"/>
    <x v="3"/>
    <x v="2"/>
    <x v="0"/>
    <x v="1"/>
    <n v="24"/>
    <n v="71"/>
    <n v="80001"/>
    <n v="4600"/>
    <n v="4.4000000000000004"/>
    <x v="0"/>
  </r>
  <r>
    <s v="EMP1821"/>
    <s v="David Brown"/>
    <x v="16"/>
    <x v="2"/>
    <s v="Master's"/>
    <s v="San Jose"/>
    <x v="3"/>
    <s v="Logistics Coordinator"/>
    <x v="0"/>
    <x v="614"/>
    <x v="2"/>
    <n v="0"/>
    <n v="5"/>
    <x v="0"/>
    <x v="0"/>
    <x v="4"/>
    <x v="0"/>
    <n v="16"/>
    <n v="74"/>
    <n v="62033"/>
    <n v="7700"/>
    <n v="7.5"/>
    <x v="1"/>
  </r>
  <r>
    <s v="EMP1822"/>
    <s v="William Anderson"/>
    <x v="20"/>
    <x v="2"/>
    <s v="Master's"/>
    <s v="Phoenix"/>
    <x v="2"/>
    <s v="Tech Lead"/>
    <x v="0"/>
    <x v="216"/>
    <x v="2"/>
    <n v="0"/>
    <n v="9"/>
    <x v="0"/>
    <x v="3"/>
    <x v="2"/>
    <x v="0"/>
    <n v="24"/>
    <n v="56"/>
    <n v="126536"/>
    <n v="12500"/>
    <n v="12.5"/>
    <x v="0"/>
  </r>
  <r>
    <s v="EMP1823"/>
    <s v="Mary Martinez"/>
    <x v="6"/>
    <x v="1"/>
    <s v="Bachelor's"/>
    <s v="San Antonio"/>
    <x v="0"/>
    <s v="Accountant"/>
    <x v="2"/>
    <x v="90"/>
    <x v="2"/>
    <n v="0"/>
    <n v="11"/>
    <x v="3"/>
    <x v="0"/>
    <x v="3"/>
    <x v="1"/>
    <n v="24"/>
    <n v="53"/>
    <n v="88188"/>
    <n v="5000"/>
    <n v="4.5999999999999996"/>
    <x v="0"/>
  </r>
  <r>
    <s v="EMP1824"/>
    <s v="Mary Johnson"/>
    <x v="9"/>
    <x v="1"/>
    <s v="Bachelor's"/>
    <s v="Chicago"/>
    <x v="3"/>
    <s v="Supply Chain Analyst"/>
    <x v="0"/>
    <x v="615"/>
    <x v="2"/>
    <n v="0"/>
    <n v="20"/>
    <x v="2"/>
    <x v="4"/>
    <x v="2"/>
    <x v="0"/>
    <n v="15"/>
    <n v="60"/>
    <n v="48519"/>
    <n v="11400"/>
    <n v="8.1"/>
    <x v="0"/>
  </r>
  <r>
    <s v="EMP1825"/>
    <s v="Matthew Garcia"/>
    <x v="1"/>
    <x v="2"/>
    <s v="Bachelor's"/>
    <s v="Dallas"/>
    <x v="7"/>
    <s v="IT Manager"/>
    <x v="0"/>
    <x v="616"/>
    <x v="3"/>
    <n v="3"/>
    <n v="4"/>
    <x v="1"/>
    <x v="1"/>
    <x v="1"/>
    <x v="0"/>
    <n v="24"/>
    <n v="68"/>
    <n v="101474"/>
    <n v="2500"/>
    <n v="13.9"/>
    <x v="0"/>
  </r>
  <r>
    <s v="EMP1826"/>
    <s v="Charles Rodriguez"/>
    <x v="13"/>
    <x v="2"/>
    <s v="Bachelor's"/>
    <s v="New York"/>
    <x v="5"/>
    <s v="Marketing Analyst"/>
    <x v="1"/>
    <x v="277"/>
    <x v="2"/>
    <n v="0"/>
    <n v="16"/>
    <x v="2"/>
    <x v="3"/>
    <x v="2"/>
    <x v="1"/>
    <n v="4"/>
    <n v="52"/>
    <n v="50186"/>
    <n v="10400"/>
    <n v="14.3"/>
    <x v="0"/>
  </r>
  <r>
    <s v="EMP1827"/>
    <s v="Lisa Gonzalez"/>
    <x v="16"/>
    <x v="1"/>
    <s v="Bachelor's"/>
    <s v="San Jose"/>
    <x v="1"/>
    <s v="Account Manager"/>
    <x v="0"/>
    <x v="394"/>
    <x v="2"/>
    <n v="0"/>
    <n v="4"/>
    <x v="0"/>
    <x v="2"/>
    <x v="1"/>
    <x v="1"/>
    <n v="14"/>
    <n v="70"/>
    <n v="79652"/>
    <n v="10500"/>
    <n v="13.6"/>
    <x v="0"/>
  </r>
  <r>
    <s v="EMP1828"/>
    <s v="Taylor Garcia"/>
    <x v="0"/>
    <x v="0"/>
    <s v="Bachelor's"/>
    <s v="Phoenix"/>
    <x v="5"/>
    <s v="Content Strategist"/>
    <x v="0"/>
    <x v="374"/>
    <x v="0"/>
    <n v="1"/>
    <n v="10"/>
    <x v="3"/>
    <x v="4"/>
    <x v="4"/>
    <x v="1"/>
    <n v="9"/>
    <n v="47"/>
    <n v="81535"/>
    <n v="5100"/>
    <n v="6.9"/>
    <x v="0"/>
  </r>
  <r>
    <s v="EMP1829"/>
    <s v="Elizabeth Lopez"/>
    <x v="24"/>
    <x v="1"/>
    <s v="Bachelor's"/>
    <s v="San Diego"/>
    <x v="6"/>
    <s v="Recruiter"/>
    <x v="0"/>
    <x v="603"/>
    <x v="1"/>
    <n v="2"/>
    <n v="3"/>
    <x v="2"/>
    <x v="2"/>
    <x v="1"/>
    <x v="1"/>
    <n v="14"/>
    <n v="56"/>
    <n v="52684"/>
    <n v="11400"/>
    <n v="8.4"/>
    <x v="0"/>
  </r>
  <r>
    <s v="EMP1830"/>
    <s v="Linda Hernandez"/>
    <x v="3"/>
    <x v="1"/>
    <s v="Bachelor's"/>
    <s v="San Diego"/>
    <x v="4"/>
    <s v="Support Analyst"/>
    <x v="0"/>
    <x v="356"/>
    <x v="0"/>
    <n v="1"/>
    <n v="6"/>
    <x v="3"/>
    <x v="1"/>
    <x v="0"/>
    <x v="0"/>
    <n v="1"/>
    <n v="8"/>
    <n v="41279"/>
    <n v="3000"/>
    <n v="7.6"/>
    <x v="0"/>
  </r>
  <r>
    <s v="EMP1831"/>
    <s v="Alex Jones"/>
    <x v="15"/>
    <x v="0"/>
    <s v="Bachelor's"/>
    <s v="Philadelphia"/>
    <x v="4"/>
    <s v="Support Analyst"/>
    <x v="2"/>
    <x v="515"/>
    <x v="0"/>
    <n v="1"/>
    <n v="7"/>
    <x v="1"/>
    <x v="3"/>
    <x v="1"/>
    <x v="1"/>
    <n v="1"/>
    <n v="13"/>
    <n v="60979"/>
    <n v="1700"/>
    <n v="9.5"/>
    <x v="0"/>
  </r>
  <r>
    <s v="EMP1832"/>
    <s v="Susan Davis"/>
    <x v="23"/>
    <x v="1"/>
    <s v="PhD"/>
    <s v="New York"/>
    <x v="2"/>
    <s v="Software Engineer"/>
    <x v="2"/>
    <x v="99"/>
    <x v="2"/>
    <n v="0"/>
    <n v="17"/>
    <x v="1"/>
    <x v="0"/>
    <x v="0"/>
    <x v="0"/>
    <n v="11"/>
    <n v="8"/>
    <n v="115264"/>
    <n v="3200"/>
    <n v="6.1"/>
    <x v="0"/>
  </r>
  <r>
    <s v="EMP1833"/>
    <s v="Linda Davis"/>
    <x v="6"/>
    <x v="1"/>
    <s v="Master's"/>
    <s v="San Antonio"/>
    <x v="5"/>
    <s v="SEO Specialist"/>
    <x v="2"/>
    <x v="386"/>
    <x v="3"/>
    <n v="3"/>
    <n v="11"/>
    <x v="2"/>
    <x v="2"/>
    <x v="0"/>
    <x v="1"/>
    <n v="13"/>
    <n v="75"/>
    <n v="53082"/>
    <n v="10400"/>
    <n v="9"/>
    <x v="0"/>
  </r>
  <r>
    <s v="EMP1834"/>
    <s v="Betty Lopez"/>
    <x v="23"/>
    <x v="1"/>
    <s v="PhD"/>
    <s v="Los Angeles"/>
    <x v="5"/>
    <s v="Marketing Manager"/>
    <x v="2"/>
    <x v="617"/>
    <x v="3"/>
    <n v="3"/>
    <n v="16"/>
    <x v="0"/>
    <x v="2"/>
    <x v="0"/>
    <x v="0"/>
    <n v="23"/>
    <n v="48"/>
    <n v="51858"/>
    <n v="6100"/>
    <n v="4.7"/>
    <x v="0"/>
  </r>
  <r>
    <s v="EMP1835"/>
    <s v="Robert Anderson"/>
    <x v="10"/>
    <x v="2"/>
    <s v="Bachelor's"/>
    <s v="Dallas"/>
    <x v="0"/>
    <s v="Accountant"/>
    <x v="0"/>
    <x v="39"/>
    <x v="1"/>
    <n v="2"/>
    <n v="8"/>
    <x v="0"/>
    <x v="4"/>
    <x v="3"/>
    <x v="1"/>
    <n v="18"/>
    <n v="26"/>
    <n v="70431"/>
    <n v="9400"/>
    <n v="4.8"/>
    <x v="0"/>
  </r>
  <r>
    <s v="EMP1836"/>
    <s v="Thomas Anderson"/>
    <x v="4"/>
    <x v="2"/>
    <s v="Bachelor's"/>
    <s v="Los Angeles"/>
    <x v="2"/>
    <s v="Senior Engineer"/>
    <x v="0"/>
    <x v="618"/>
    <x v="3"/>
    <n v="3"/>
    <n v="18"/>
    <x v="2"/>
    <x v="4"/>
    <x v="2"/>
    <x v="0"/>
    <n v="13"/>
    <n v="48"/>
    <n v="85876"/>
    <n v="14500"/>
    <n v="5.2"/>
    <x v="0"/>
  </r>
  <r>
    <s v="EMP1837"/>
    <s v="James Rodriguez"/>
    <x v="24"/>
    <x v="2"/>
    <s v="Master's"/>
    <s v="Houston"/>
    <x v="0"/>
    <s v="Financial Analyst"/>
    <x v="2"/>
    <x v="619"/>
    <x v="2"/>
    <n v="0"/>
    <n v="4"/>
    <x v="0"/>
    <x v="3"/>
    <x v="4"/>
    <x v="1"/>
    <n v="20"/>
    <n v="31"/>
    <n v="108597"/>
    <n v="12400"/>
    <n v="12.6"/>
    <x v="0"/>
  </r>
  <r>
    <s v="EMP1838"/>
    <s v="Betty Smith"/>
    <x v="12"/>
    <x v="1"/>
    <s v="Bachelor's"/>
    <s v="New York"/>
    <x v="1"/>
    <s v="Sales Executive"/>
    <x v="0"/>
    <x v="620"/>
    <x v="2"/>
    <n v="0"/>
    <n v="18"/>
    <x v="0"/>
    <x v="1"/>
    <x v="2"/>
    <x v="0"/>
    <n v="24"/>
    <n v="51"/>
    <n v="65272"/>
    <n v="9300"/>
    <n v="6.8"/>
    <x v="0"/>
  </r>
  <r>
    <s v="EMP1839"/>
    <s v="Anthony Wilson"/>
    <x v="9"/>
    <x v="2"/>
    <s v="Bachelor's"/>
    <s v="San Antonio"/>
    <x v="5"/>
    <s v="Marketing Manager"/>
    <x v="0"/>
    <x v="621"/>
    <x v="0"/>
    <n v="1"/>
    <n v="19"/>
    <x v="0"/>
    <x v="1"/>
    <x v="1"/>
    <x v="1"/>
    <n v="0"/>
    <n v="50"/>
    <n v="49884"/>
    <n v="7000"/>
    <n v="3.6"/>
    <x v="0"/>
  </r>
  <r>
    <s v="EMP1840"/>
    <s v="John Lopez"/>
    <x v="0"/>
    <x v="2"/>
    <s v="Bachelor's"/>
    <s v="San Jose"/>
    <x v="7"/>
    <s v="IT Manager"/>
    <x v="0"/>
    <x v="158"/>
    <x v="3"/>
    <n v="3"/>
    <n v="8"/>
    <x v="0"/>
    <x v="2"/>
    <x v="0"/>
    <x v="1"/>
    <n v="0"/>
    <n v="47"/>
    <n v="84295"/>
    <n v="8500"/>
    <n v="10.4"/>
    <x v="0"/>
  </r>
  <r>
    <s v="EMP1841"/>
    <s v="Thomas Brown"/>
    <x v="4"/>
    <x v="2"/>
    <s v="Master's"/>
    <s v="Dallas"/>
    <x v="2"/>
    <s v="Senior Engineer"/>
    <x v="0"/>
    <x v="569"/>
    <x v="0"/>
    <n v="1"/>
    <n v="13"/>
    <x v="2"/>
    <x v="2"/>
    <x v="1"/>
    <x v="1"/>
    <n v="15"/>
    <n v="67"/>
    <n v="123117"/>
    <n v="25700"/>
    <n v="12.4"/>
    <x v="0"/>
  </r>
  <r>
    <s v="EMP1842"/>
    <s v="Patricia Garcia"/>
    <x v="9"/>
    <x v="1"/>
    <s v="Bachelor's"/>
    <s v="Chicago"/>
    <x v="0"/>
    <s v="Controller"/>
    <x v="0"/>
    <x v="622"/>
    <x v="3"/>
    <n v="3"/>
    <n v="19"/>
    <x v="3"/>
    <x v="1"/>
    <x v="3"/>
    <x v="1"/>
    <n v="13"/>
    <n v="45"/>
    <n v="84722"/>
    <n v="6100"/>
    <n v="13.8"/>
    <x v="1"/>
  </r>
  <r>
    <s v="EMP1843"/>
    <s v="Lisa Rodriguez"/>
    <x v="14"/>
    <x v="1"/>
    <s v="Master's"/>
    <s v="San Diego"/>
    <x v="0"/>
    <s v="Controller"/>
    <x v="0"/>
    <x v="423"/>
    <x v="1"/>
    <n v="2"/>
    <n v="10"/>
    <x v="3"/>
    <x v="2"/>
    <x v="4"/>
    <x v="1"/>
    <n v="3"/>
    <n v="58"/>
    <n v="55383"/>
    <n v="4600"/>
    <n v="9.9"/>
    <x v="0"/>
  </r>
  <r>
    <s v="EMP1844"/>
    <s v="Daniel Johnson"/>
    <x v="10"/>
    <x v="2"/>
    <s v="PhD"/>
    <s v="San Jose"/>
    <x v="4"/>
    <s v="Support Analyst"/>
    <x v="0"/>
    <x v="623"/>
    <x v="1"/>
    <n v="2"/>
    <n v="13"/>
    <x v="0"/>
    <x v="0"/>
    <x v="2"/>
    <x v="0"/>
    <n v="8"/>
    <n v="22"/>
    <n v="38164"/>
    <n v="5100"/>
    <n v="10.7"/>
    <x v="0"/>
  </r>
  <r>
    <s v="EMP1845"/>
    <s v="Joseph Garcia"/>
    <x v="6"/>
    <x v="2"/>
    <s v="Bachelor's"/>
    <s v="New York"/>
    <x v="4"/>
    <s v="Support Lead"/>
    <x v="0"/>
    <x v="624"/>
    <x v="3"/>
    <n v="3"/>
    <n v="9"/>
    <x v="2"/>
    <x v="2"/>
    <x v="3"/>
    <x v="1"/>
    <n v="0"/>
    <n v="73"/>
    <n v="39321"/>
    <n v="8000"/>
    <n v="11.2"/>
    <x v="0"/>
  </r>
  <r>
    <s v="EMP1846"/>
    <s v="Anthony Garcia"/>
    <x v="5"/>
    <x v="2"/>
    <s v="Diploma"/>
    <s v="New York"/>
    <x v="4"/>
    <s v="Support Lead"/>
    <x v="0"/>
    <x v="625"/>
    <x v="2"/>
    <n v="0"/>
    <n v="19"/>
    <x v="2"/>
    <x v="0"/>
    <x v="3"/>
    <x v="1"/>
    <n v="8"/>
    <n v="60"/>
    <n v="36631"/>
    <n v="7000"/>
    <n v="14.1"/>
    <x v="0"/>
  </r>
  <r>
    <s v="EMP1847"/>
    <s v="Mark Rodriguez"/>
    <x v="8"/>
    <x v="2"/>
    <s v="Bachelor's"/>
    <s v="San Diego"/>
    <x v="2"/>
    <s v="Senior Engineer"/>
    <x v="0"/>
    <x v="626"/>
    <x v="0"/>
    <n v="1"/>
    <n v="9"/>
    <x v="0"/>
    <x v="0"/>
    <x v="2"/>
    <x v="1"/>
    <n v="2"/>
    <n v="49"/>
    <n v="133632"/>
    <n v="18900"/>
    <n v="12.8"/>
    <x v="0"/>
  </r>
  <r>
    <s v="EMP1848"/>
    <s v="John Smith"/>
    <x v="18"/>
    <x v="2"/>
    <s v="Bachelor's"/>
    <s v="Los Angeles"/>
    <x v="2"/>
    <s v="Tech Lead"/>
    <x v="0"/>
    <x v="627"/>
    <x v="0"/>
    <n v="1"/>
    <n v="2"/>
    <x v="1"/>
    <x v="4"/>
    <x v="1"/>
    <x v="1"/>
    <n v="23"/>
    <n v="5"/>
    <n v="118732"/>
    <n v="3700"/>
    <n v="13.1"/>
    <x v="0"/>
  </r>
  <r>
    <s v="EMP1849"/>
    <s v="Anthony Wilson"/>
    <x v="4"/>
    <x v="2"/>
    <s v="Bachelor's"/>
    <s v="San Diego"/>
    <x v="0"/>
    <s v="Accountant"/>
    <x v="0"/>
    <x v="628"/>
    <x v="2"/>
    <n v="0"/>
    <n v="19"/>
    <x v="0"/>
    <x v="1"/>
    <x v="0"/>
    <x v="0"/>
    <n v="18"/>
    <n v="39"/>
    <n v="57151"/>
    <n v="7700"/>
    <n v="10.1"/>
    <x v="0"/>
  </r>
  <r>
    <s v="EMP1850"/>
    <s v="Linda Gonzalez"/>
    <x v="4"/>
    <x v="1"/>
    <s v="Master's"/>
    <s v="San Diego"/>
    <x v="3"/>
    <s v="Supply Chain Analyst"/>
    <x v="0"/>
    <x v="65"/>
    <x v="1"/>
    <n v="2"/>
    <n v="15"/>
    <x v="0"/>
    <x v="4"/>
    <x v="1"/>
    <x v="0"/>
    <n v="19"/>
    <n v="65"/>
    <n v="82557"/>
    <n v="11300"/>
    <n v="7.1"/>
    <x v="0"/>
  </r>
  <r>
    <s v="EMP1851"/>
    <s v="Morgan Gonzalez"/>
    <x v="21"/>
    <x v="0"/>
    <s v="Bachelor's"/>
    <s v="Chicago"/>
    <x v="4"/>
    <s v="Support Lead"/>
    <x v="0"/>
    <x v="629"/>
    <x v="0"/>
    <n v="1"/>
    <n v="7"/>
    <x v="2"/>
    <x v="3"/>
    <x v="3"/>
    <x v="0"/>
    <n v="23"/>
    <n v="46"/>
    <n v="45888"/>
    <n v="8600"/>
    <n v="9.6999999999999993"/>
    <x v="0"/>
  </r>
  <r>
    <s v="EMP1852"/>
    <s v="Matthew Anderson"/>
    <x v="14"/>
    <x v="2"/>
    <s v="Master's"/>
    <s v="San Jose"/>
    <x v="1"/>
    <s v="Business Development Rep"/>
    <x v="0"/>
    <x v="630"/>
    <x v="1"/>
    <n v="2"/>
    <n v="5"/>
    <x v="3"/>
    <x v="3"/>
    <x v="4"/>
    <x v="1"/>
    <n v="17"/>
    <n v="64"/>
    <n v="71583"/>
    <n v="6000"/>
    <n v="8.1999999999999993"/>
    <x v="0"/>
  </r>
  <r>
    <s v="EMP1853"/>
    <s v="Jennifer Garcia"/>
    <x v="7"/>
    <x v="1"/>
    <s v="Diploma"/>
    <s v="New York"/>
    <x v="1"/>
    <s v="Sales Manager"/>
    <x v="0"/>
    <x v="631"/>
    <x v="1"/>
    <n v="2"/>
    <n v="10"/>
    <x v="2"/>
    <x v="4"/>
    <x v="0"/>
    <x v="0"/>
    <n v="10"/>
    <n v="45"/>
    <n v="80402"/>
    <n v="15000"/>
    <n v="8.3000000000000007"/>
    <x v="0"/>
  </r>
  <r>
    <s v="EMP1854"/>
    <s v="Richard Williams"/>
    <x v="27"/>
    <x v="2"/>
    <s v="Master's"/>
    <s v="San Jose"/>
    <x v="0"/>
    <s v="Financial Analyst"/>
    <x v="0"/>
    <x v="155"/>
    <x v="1"/>
    <n v="2"/>
    <n v="1"/>
    <x v="1"/>
    <x v="0"/>
    <x v="1"/>
    <x v="0"/>
    <n v="2"/>
    <n v="12"/>
    <n v="76843"/>
    <n v="2100"/>
    <n v="3.5"/>
    <x v="0"/>
  </r>
  <r>
    <s v="EMP1855"/>
    <s v="Susan Johnson"/>
    <x v="20"/>
    <x v="1"/>
    <s v="Master's"/>
    <s v="Houston"/>
    <x v="4"/>
    <s v="Support Analyst"/>
    <x v="0"/>
    <x v="243"/>
    <x v="3"/>
    <n v="3"/>
    <n v="10"/>
    <x v="3"/>
    <x v="3"/>
    <x v="1"/>
    <x v="1"/>
    <n v="21"/>
    <n v="22"/>
    <n v="36768"/>
    <n v="2200"/>
    <n v="10.6"/>
    <x v="0"/>
  </r>
  <r>
    <s v="EMP1856"/>
    <s v="Lisa Williams"/>
    <x v="13"/>
    <x v="1"/>
    <s v="Diploma"/>
    <s v="Philadelphia"/>
    <x v="7"/>
    <s v="IT Analyst"/>
    <x v="0"/>
    <x v="421"/>
    <x v="1"/>
    <n v="2"/>
    <n v="19"/>
    <x v="2"/>
    <x v="0"/>
    <x v="3"/>
    <x v="0"/>
    <n v="11"/>
    <n v="75"/>
    <n v="58900"/>
    <n v="13500"/>
    <n v="12.1"/>
    <x v="0"/>
  </r>
  <r>
    <s v="EMP1857"/>
    <s v="Mark Martinez"/>
    <x v="2"/>
    <x v="2"/>
    <s v="High School"/>
    <s v="New York"/>
    <x v="3"/>
    <s v="Supply Chain Analyst"/>
    <x v="1"/>
    <x v="632"/>
    <x v="0"/>
    <n v="1"/>
    <n v="10"/>
    <x v="2"/>
    <x v="2"/>
    <x v="4"/>
    <x v="1"/>
    <n v="20"/>
    <n v="3"/>
    <n v="77264"/>
    <n v="15100"/>
    <n v="5.3"/>
    <x v="0"/>
  </r>
  <r>
    <s v="EMP1858"/>
    <s v="Margaret Johnson"/>
    <x v="3"/>
    <x v="1"/>
    <s v="High School"/>
    <s v="New York"/>
    <x v="2"/>
    <s v="Senior Engineer"/>
    <x v="2"/>
    <x v="578"/>
    <x v="3"/>
    <n v="3"/>
    <n v="10"/>
    <x v="0"/>
    <x v="4"/>
    <x v="1"/>
    <x v="0"/>
    <n v="16"/>
    <n v="78"/>
    <n v="71599"/>
    <n v="10000"/>
    <n v="4.4000000000000004"/>
    <x v="0"/>
  </r>
  <r>
    <s v="EMP1859"/>
    <s v="Thomas Jones"/>
    <x v="3"/>
    <x v="2"/>
    <s v="High School"/>
    <s v="New York"/>
    <x v="1"/>
    <s v="Account Manager"/>
    <x v="0"/>
    <x v="633"/>
    <x v="3"/>
    <n v="3"/>
    <n v="11"/>
    <x v="0"/>
    <x v="1"/>
    <x v="1"/>
    <x v="1"/>
    <n v="1"/>
    <n v="52"/>
    <n v="68538"/>
    <n v="9000"/>
    <n v="13.9"/>
    <x v="0"/>
  </r>
  <r>
    <s v="EMP1860"/>
    <s v="Karen Smith"/>
    <x v="25"/>
    <x v="1"/>
    <s v="Bachelor's"/>
    <s v="San Diego"/>
    <x v="0"/>
    <s v="Controller"/>
    <x v="0"/>
    <x v="280"/>
    <x v="3"/>
    <n v="3"/>
    <n v="14"/>
    <x v="0"/>
    <x v="0"/>
    <x v="3"/>
    <x v="1"/>
    <n v="21"/>
    <n v="24"/>
    <n v="90830"/>
    <n v="10600"/>
    <n v="6.2"/>
    <x v="0"/>
  </r>
  <r>
    <s v="EMP1861"/>
    <s v="Daniel Garcia"/>
    <x v="12"/>
    <x v="2"/>
    <s v="Master's"/>
    <s v="New York"/>
    <x v="4"/>
    <s v="Customer Success Manager"/>
    <x v="0"/>
    <x v="218"/>
    <x v="1"/>
    <n v="3"/>
    <n v="13"/>
    <x v="3"/>
    <x v="0"/>
    <x v="2"/>
    <x v="1"/>
    <n v="10"/>
    <n v="32"/>
    <n v="59863"/>
    <n v="3600"/>
    <n v="6.9"/>
    <x v="0"/>
  </r>
  <r>
    <s v="EMP1862"/>
    <s v="Jennifer Jones"/>
    <x v="14"/>
    <x v="1"/>
    <s v="Master's"/>
    <s v="Philadelphia"/>
    <x v="2"/>
    <s v="Senior Engineer"/>
    <x v="2"/>
    <x v="634"/>
    <x v="3"/>
    <n v="3"/>
    <n v="9"/>
    <x v="3"/>
    <x v="1"/>
    <x v="1"/>
    <x v="0"/>
    <n v="23"/>
    <n v="4"/>
    <n v="94480"/>
    <n v="6800"/>
    <n v="12.3"/>
    <x v="0"/>
  </r>
  <r>
    <s v="EMP1863"/>
    <s v="Sandra Miller"/>
    <x v="8"/>
    <x v="1"/>
    <s v="Master's"/>
    <s v="San Antonio"/>
    <x v="0"/>
    <s v="Financial Analyst"/>
    <x v="0"/>
    <x v="635"/>
    <x v="3"/>
    <n v="3"/>
    <n v="1"/>
    <x v="0"/>
    <x v="0"/>
    <x v="0"/>
    <x v="0"/>
    <n v="0"/>
    <n v="36"/>
    <n v="82132"/>
    <n v="8800"/>
    <n v="4.8"/>
    <x v="0"/>
  </r>
  <r>
    <s v="EMP1864"/>
    <s v="Sandra Anderson"/>
    <x v="17"/>
    <x v="1"/>
    <s v="PhD"/>
    <s v="San Jose"/>
    <x v="4"/>
    <s v="Customer Success Manager"/>
    <x v="0"/>
    <x v="338"/>
    <x v="2"/>
    <n v="0"/>
    <n v="19"/>
    <x v="0"/>
    <x v="3"/>
    <x v="3"/>
    <x v="1"/>
    <n v="12"/>
    <n v="5"/>
    <n v="52794"/>
    <n v="7200"/>
    <n v="13.3"/>
    <x v="1"/>
  </r>
  <r>
    <s v="EMP1865"/>
    <s v="Linda Miller"/>
    <x v="0"/>
    <x v="1"/>
    <s v="Bachelor's"/>
    <s v="Chicago"/>
    <x v="1"/>
    <s v="Sales Manager"/>
    <x v="0"/>
    <x v="636"/>
    <x v="1"/>
    <n v="2"/>
    <n v="5"/>
    <x v="2"/>
    <x v="4"/>
    <x v="1"/>
    <x v="1"/>
    <n v="2"/>
    <n v="44"/>
    <n v="79122"/>
    <n v="14300"/>
    <n v="14.8"/>
    <x v="0"/>
  </r>
  <r>
    <s v="EMP1866"/>
    <s v="Matthew Rodriguez"/>
    <x v="7"/>
    <x v="2"/>
    <s v="Bachelor's"/>
    <s v="Dallas"/>
    <x v="3"/>
    <s v="Operations Manager"/>
    <x v="0"/>
    <x v="426"/>
    <x v="3"/>
    <n v="3"/>
    <n v="14"/>
    <x v="3"/>
    <x v="4"/>
    <x v="1"/>
    <x v="1"/>
    <n v="21"/>
    <n v="46"/>
    <n v="84845"/>
    <n v="5200"/>
    <n v="7.2"/>
    <x v="0"/>
  </r>
  <r>
    <s v="EMP1867"/>
    <s v="Matthew Johnson"/>
    <x v="20"/>
    <x v="2"/>
    <s v="Master's"/>
    <s v="Chicago"/>
    <x v="2"/>
    <s v="Software Engineer"/>
    <x v="0"/>
    <x v="558"/>
    <x v="2"/>
    <n v="0"/>
    <n v="12"/>
    <x v="3"/>
    <x v="1"/>
    <x v="2"/>
    <x v="1"/>
    <n v="17"/>
    <n v="66"/>
    <n v="80689"/>
    <n v="6500"/>
    <n v="9.8000000000000007"/>
    <x v="0"/>
  </r>
  <r>
    <s v="EMP1868"/>
    <s v="Betty Gonzalez"/>
    <x v="4"/>
    <x v="1"/>
    <s v="Bachelor's"/>
    <s v="Dallas"/>
    <x v="2"/>
    <s v="Software Engineer"/>
    <x v="0"/>
    <x v="577"/>
    <x v="0"/>
    <n v="1"/>
    <n v="18"/>
    <x v="0"/>
    <x v="3"/>
    <x v="1"/>
    <x v="0"/>
    <n v="21"/>
    <n v="12"/>
    <n v="119209"/>
    <n v="12300"/>
    <n v="13.9"/>
    <x v="0"/>
  </r>
  <r>
    <s v="EMP1869"/>
    <s v="Matthew Davis"/>
    <x v="6"/>
    <x v="2"/>
    <s v="Bachelor's"/>
    <s v="Chicago"/>
    <x v="1"/>
    <s v="Sales Manager"/>
    <x v="0"/>
    <x v="637"/>
    <x v="1"/>
    <n v="2"/>
    <n v="6"/>
    <x v="0"/>
    <x v="1"/>
    <x v="4"/>
    <x v="1"/>
    <n v="8"/>
    <n v="62"/>
    <n v="64303"/>
    <n v="8100"/>
    <n v="13.1"/>
    <x v="0"/>
  </r>
  <r>
    <s v="EMP1870"/>
    <s v="Nancy Williams"/>
    <x v="10"/>
    <x v="1"/>
    <s v="Master's"/>
    <s v="New York"/>
    <x v="5"/>
    <s v="Content Strategist"/>
    <x v="0"/>
    <x v="584"/>
    <x v="3"/>
    <n v="3"/>
    <n v="12"/>
    <x v="2"/>
    <x v="0"/>
    <x v="3"/>
    <x v="0"/>
    <n v="4"/>
    <n v="16"/>
    <n v="89114"/>
    <n v="18700"/>
    <n v="3.2"/>
    <x v="1"/>
  </r>
  <r>
    <s v="EMP1871"/>
    <s v="Anthony Anderson"/>
    <x v="3"/>
    <x v="2"/>
    <s v="Master's"/>
    <s v="San Antonio"/>
    <x v="6"/>
    <s v="L&amp;D Specialist"/>
    <x v="0"/>
    <x v="638"/>
    <x v="1"/>
    <n v="2"/>
    <n v="8"/>
    <x v="3"/>
    <x v="0"/>
    <x v="1"/>
    <x v="1"/>
    <n v="21"/>
    <n v="7"/>
    <n v="42715"/>
    <n v="3300"/>
    <n v="9"/>
    <x v="0"/>
  </r>
  <r>
    <s v="EMP1872"/>
    <s v="Karen Brown"/>
    <x v="23"/>
    <x v="1"/>
    <s v="Diploma"/>
    <s v="San Jose"/>
    <x v="3"/>
    <s v="Supply Chain Analyst"/>
    <x v="0"/>
    <x v="639"/>
    <x v="2"/>
    <n v="0"/>
    <n v="12"/>
    <x v="0"/>
    <x v="1"/>
    <x v="2"/>
    <x v="1"/>
    <n v="9"/>
    <n v="48"/>
    <n v="51288"/>
    <n v="5500"/>
    <n v="12.2"/>
    <x v="0"/>
  </r>
  <r>
    <s v="EMP1873"/>
    <s v="Jennifer Martinez"/>
    <x v="1"/>
    <x v="1"/>
    <s v="Bachelor's"/>
    <s v="Los Angeles"/>
    <x v="1"/>
    <s v="Sales Executive"/>
    <x v="2"/>
    <x v="640"/>
    <x v="1"/>
    <n v="2"/>
    <n v="1"/>
    <x v="0"/>
    <x v="0"/>
    <x v="1"/>
    <x v="0"/>
    <n v="13"/>
    <n v="62"/>
    <n v="93619"/>
    <n v="10200"/>
    <n v="10.4"/>
    <x v="0"/>
  </r>
  <r>
    <s v="EMP1874"/>
    <s v="David Miller"/>
    <x v="12"/>
    <x v="2"/>
    <s v="High School"/>
    <s v="San Antonio"/>
    <x v="1"/>
    <s v="Sales Executive"/>
    <x v="0"/>
    <x v="641"/>
    <x v="0"/>
    <n v="1"/>
    <n v="13"/>
    <x v="0"/>
    <x v="1"/>
    <x v="4"/>
    <x v="1"/>
    <n v="18"/>
    <n v="36"/>
    <n v="47659"/>
    <n v="6200"/>
    <n v="14.2"/>
    <x v="1"/>
  </r>
  <r>
    <s v="EMP1875"/>
    <s v="James Davis"/>
    <x v="3"/>
    <x v="2"/>
    <s v="Master's"/>
    <s v="Chicago"/>
    <x v="4"/>
    <s v="Customer Success Manager"/>
    <x v="2"/>
    <x v="642"/>
    <x v="2"/>
    <n v="0"/>
    <n v="10"/>
    <x v="0"/>
    <x v="4"/>
    <x v="3"/>
    <x v="1"/>
    <n v="13"/>
    <n v="15"/>
    <n v="53597"/>
    <n v="5200"/>
    <n v="10.8"/>
    <x v="0"/>
  </r>
  <r>
    <s v="EMP1876"/>
    <s v="Robert Jones"/>
    <x v="2"/>
    <x v="2"/>
    <s v="Diploma"/>
    <s v="New York"/>
    <x v="6"/>
    <s v="HR Executive"/>
    <x v="0"/>
    <x v="643"/>
    <x v="1"/>
    <n v="2"/>
    <n v="5"/>
    <x v="3"/>
    <x v="4"/>
    <x v="0"/>
    <x v="1"/>
    <n v="21"/>
    <n v="79"/>
    <n v="76359"/>
    <n v="4800"/>
    <n v="4.8"/>
    <x v="0"/>
  </r>
  <r>
    <s v="EMP1877"/>
    <s v="Sandra Miller"/>
    <x v="14"/>
    <x v="1"/>
    <s v="Master's"/>
    <s v="Phoenix"/>
    <x v="2"/>
    <s v="Software Engineer"/>
    <x v="1"/>
    <x v="644"/>
    <x v="1"/>
    <n v="2"/>
    <n v="10"/>
    <x v="0"/>
    <x v="0"/>
    <x v="4"/>
    <x v="0"/>
    <n v="21"/>
    <n v="7"/>
    <n v="119842"/>
    <n v="12700"/>
    <n v="7.1"/>
    <x v="0"/>
  </r>
  <r>
    <s v="EMP1878"/>
    <s v="Linda Brown"/>
    <x v="1"/>
    <x v="1"/>
    <s v="Bachelor's"/>
    <s v="Phoenix"/>
    <x v="4"/>
    <s v="Customer Success Manager"/>
    <x v="0"/>
    <x v="288"/>
    <x v="0"/>
    <n v="1"/>
    <n v="2"/>
    <x v="3"/>
    <x v="4"/>
    <x v="2"/>
    <x v="1"/>
    <n v="22"/>
    <n v="72"/>
    <n v="58147"/>
    <n v="4600"/>
    <n v="9.3000000000000007"/>
    <x v="0"/>
  </r>
  <r>
    <s v="EMP1879"/>
    <s v="Matthew Davis"/>
    <x v="6"/>
    <x v="2"/>
    <s v="Diploma"/>
    <s v="San Jose"/>
    <x v="1"/>
    <s v="Account Manager"/>
    <x v="0"/>
    <x v="130"/>
    <x v="2"/>
    <n v="0"/>
    <n v="9"/>
    <x v="1"/>
    <x v="4"/>
    <x v="1"/>
    <x v="1"/>
    <n v="13"/>
    <n v="26"/>
    <n v="68625"/>
    <n v="2000"/>
    <n v="9.8000000000000007"/>
    <x v="0"/>
  </r>
  <r>
    <s v="EMP1880"/>
    <s v="Robert Garcia"/>
    <x v="23"/>
    <x v="2"/>
    <s v="Master's"/>
    <s v="San Jose"/>
    <x v="5"/>
    <s v="Content Strategist"/>
    <x v="0"/>
    <x v="109"/>
    <x v="0"/>
    <n v="1"/>
    <n v="18"/>
    <x v="1"/>
    <x v="3"/>
    <x v="0"/>
    <x v="1"/>
    <n v="12"/>
    <n v="50"/>
    <n v="85522"/>
    <n v="2400"/>
    <n v="4.0999999999999996"/>
    <x v="1"/>
  </r>
  <r>
    <s v="EMP1881"/>
    <s v="Jennifer Johnson"/>
    <x v="14"/>
    <x v="1"/>
    <s v="Bachelor's"/>
    <s v="Phoenix"/>
    <x v="2"/>
    <s v="Tech Lead"/>
    <x v="0"/>
    <x v="645"/>
    <x v="1"/>
    <n v="2"/>
    <n v="9"/>
    <x v="0"/>
    <x v="2"/>
    <x v="3"/>
    <x v="1"/>
    <n v="7"/>
    <n v="20"/>
    <n v="85553"/>
    <n v="9800"/>
    <n v="14.2"/>
    <x v="0"/>
  </r>
  <r>
    <s v="EMP1882"/>
    <s v="Barbara Gonzalez"/>
    <x v="8"/>
    <x v="1"/>
    <s v="Master's"/>
    <s v="New York"/>
    <x v="2"/>
    <s v="DevOps Engineer"/>
    <x v="0"/>
    <x v="646"/>
    <x v="0"/>
    <n v="1"/>
    <n v="2"/>
    <x v="3"/>
    <x v="1"/>
    <x v="2"/>
    <x v="1"/>
    <n v="16"/>
    <n v="45"/>
    <n v="98837"/>
    <n v="6800"/>
    <n v="4.3"/>
    <x v="0"/>
  </r>
  <r>
    <s v="EMP1883"/>
    <s v="John Johnson"/>
    <x v="7"/>
    <x v="2"/>
    <s v="Diploma"/>
    <s v="Chicago"/>
    <x v="1"/>
    <s v="Sales Manager"/>
    <x v="0"/>
    <x v="647"/>
    <x v="0"/>
    <n v="1"/>
    <n v="15"/>
    <x v="0"/>
    <x v="2"/>
    <x v="2"/>
    <x v="0"/>
    <n v="8"/>
    <n v="34"/>
    <n v="81502"/>
    <n v="8400"/>
    <n v="7.4"/>
    <x v="0"/>
  </r>
  <r>
    <s v="EMP1884"/>
    <s v="Joseph Brown"/>
    <x v="8"/>
    <x v="2"/>
    <s v="Bachelor's"/>
    <s v="San Jose"/>
    <x v="3"/>
    <s v="Logistics Coordinator"/>
    <x v="0"/>
    <x v="147"/>
    <x v="1"/>
    <n v="2"/>
    <n v="1"/>
    <x v="3"/>
    <x v="3"/>
    <x v="2"/>
    <x v="1"/>
    <n v="6"/>
    <n v="24"/>
    <n v="67376"/>
    <n v="5300"/>
    <n v="5.7"/>
    <x v="0"/>
  </r>
  <r>
    <s v="EMP1885"/>
    <s v="William Anderson"/>
    <x v="15"/>
    <x v="2"/>
    <s v="PhD"/>
    <s v="Dallas"/>
    <x v="4"/>
    <s v="Support Analyst"/>
    <x v="0"/>
    <x v="648"/>
    <x v="3"/>
    <n v="3"/>
    <n v="2"/>
    <x v="0"/>
    <x v="1"/>
    <x v="1"/>
    <x v="1"/>
    <n v="0"/>
    <n v="19"/>
    <n v="61662"/>
    <n v="7500"/>
    <n v="3.3"/>
    <x v="0"/>
  </r>
  <r>
    <s v="EMP1886"/>
    <s v="Jennifer Lopez"/>
    <x v="14"/>
    <x v="1"/>
    <s v="Master's"/>
    <s v="Los Angeles"/>
    <x v="0"/>
    <s v="Controller"/>
    <x v="0"/>
    <x v="368"/>
    <x v="1"/>
    <n v="2"/>
    <n v="6"/>
    <x v="2"/>
    <x v="0"/>
    <x v="2"/>
    <x v="1"/>
    <n v="16"/>
    <n v="80"/>
    <n v="67770"/>
    <n v="11000"/>
    <n v="6.6"/>
    <x v="0"/>
  </r>
  <r>
    <s v="EMP1887"/>
    <s v="Robert Anderson"/>
    <x v="3"/>
    <x v="2"/>
    <s v="Master's"/>
    <s v="Chicago"/>
    <x v="1"/>
    <s v="Sales Executive"/>
    <x v="0"/>
    <x v="177"/>
    <x v="3"/>
    <n v="3"/>
    <n v="7"/>
    <x v="3"/>
    <x v="4"/>
    <x v="3"/>
    <x v="0"/>
    <n v="11"/>
    <n v="16"/>
    <n v="68007"/>
    <n v="4800"/>
    <n v="7.7"/>
    <x v="0"/>
  </r>
  <r>
    <s v="EMP1888"/>
    <s v="Riley Wilson"/>
    <x v="21"/>
    <x v="0"/>
    <s v="Master's"/>
    <s v="Phoenix"/>
    <x v="2"/>
    <s v="Tech Lead"/>
    <x v="0"/>
    <x v="546"/>
    <x v="1"/>
    <n v="2"/>
    <n v="6"/>
    <x v="0"/>
    <x v="4"/>
    <x v="3"/>
    <x v="0"/>
    <n v="11"/>
    <n v="28"/>
    <n v="128024"/>
    <n v="16100"/>
    <n v="13.7"/>
    <x v="0"/>
  </r>
  <r>
    <s v="EMP1889"/>
    <s v="Richard Johnson"/>
    <x v="6"/>
    <x v="2"/>
    <s v="Diploma"/>
    <s v="Dallas"/>
    <x v="2"/>
    <s v="Senior Engineer"/>
    <x v="2"/>
    <x v="436"/>
    <x v="0"/>
    <n v="1"/>
    <n v="13"/>
    <x v="2"/>
    <x v="0"/>
    <x v="2"/>
    <x v="0"/>
    <n v="1"/>
    <n v="12"/>
    <n v="130177"/>
    <n v="22800"/>
    <n v="10.3"/>
    <x v="0"/>
  </r>
  <r>
    <s v="EMP1890"/>
    <s v="Robert Miller"/>
    <x v="4"/>
    <x v="2"/>
    <s v="Diploma"/>
    <s v="San Antonio"/>
    <x v="6"/>
    <s v="HR Executive"/>
    <x v="1"/>
    <x v="649"/>
    <x v="3"/>
    <n v="3"/>
    <n v="18"/>
    <x v="3"/>
    <x v="3"/>
    <x v="0"/>
    <x v="1"/>
    <n v="8"/>
    <n v="51"/>
    <n v="76587"/>
    <n v="5600"/>
    <n v="5.2"/>
    <x v="1"/>
  </r>
  <r>
    <s v="EMP1891"/>
    <s v="Joseph Gonzalez"/>
    <x v="2"/>
    <x v="2"/>
    <s v="High School"/>
    <s v="San Jose"/>
    <x v="0"/>
    <s v="Controller"/>
    <x v="0"/>
    <x v="57"/>
    <x v="0"/>
    <n v="1"/>
    <n v="7"/>
    <x v="2"/>
    <x v="0"/>
    <x v="4"/>
    <x v="0"/>
    <n v="17"/>
    <n v="72"/>
    <n v="65011"/>
    <n v="11200"/>
    <n v="11.5"/>
    <x v="1"/>
  </r>
  <r>
    <s v="EMP1892"/>
    <s v="Lisa Hernandez"/>
    <x v="23"/>
    <x v="1"/>
    <s v="Bachelor's"/>
    <s v="San Antonio"/>
    <x v="2"/>
    <s v="Senior Engineer"/>
    <x v="0"/>
    <x v="650"/>
    <x v="1"/>
    <n v="2"/>
    <n v="12"/>
    <x v="3"/>
    <x v="4"/>
    <x v="3"/>
    <x v="1"/>
    <n v="2"/>
    <n v="14"/>
    <n v="93991"/>
    <n v="6900"/>
    <n v="14.9"/>
    <x v="0"/>
  </r>
  <r>
    <s v="EMP1893"/>
    <s v="Christopher Gonzalez"/>
    <x v="21"/>
    <x v="2"/>
    <s v="Master's"/>
    <s v="Chicago"/>
    <x v="2"/>
    <s v="Software Engineer"/>
    <x v="0"/>
    <x v="651"/>
    <x v="2"/>
    <n v="0"/>
    <n v="8"/>
    <x v="0"/>
    <x v="1"/>
    <x v="3"/>
    <x v="1"/>
    <n v="24"/>
    <n v="49"/>
    <n v="111321"/>
    <n v="13700"/>
    <n v="6.7"/>
    <x v="0"/>
  </r>
  <r>
    <s v="EMP1894"/>
    <s v="James Rodriguez"/>
    <x v="10"/>
    <x v="2"/>
    <s v="Master's"/>
    <s v="San Jose"/>
    <x v="3"/>
    <s v="Operations Manager"/>
    <x v="0"/>
    <x v="652"/>
    <x v="0"/>
    <n v="1"/>
    <n v="8"/>
    <x v="2"/>
    <x v="0"/>
    <x v="1"/>
    <x v="1"/>
    <n v="11"/>
    <n v="11"/>
    <n v="70304"/>
    <n v="15400"/>
    <n v="12.5"/>
    <x v="1"/>
  </r>
  <r>
    <s v="EMP1895"/>
    <s v="Casey Johnson"/>
    <x v="7"/>
    <x v="0"/>
    <s v="Bachelor's"/>
    <s v="San Jose"/>
    <x v="1"/>
    <s v="Business Development Rep"/>
    <x v="0"/>
    <x v="197"/>
    <x v="3"/>
    <n v="3"/>
    <n v="11"/>
    <x v="0"/>
    <x v="2"/>
    <x v="2"/>
    <x v="1"/>
    <n v="11"/>
    <n v="23"/>
    <n v="46108"/>
    <n v="5900"/>
    <n v="9.9"/>
    <x v="0"/>
  </r>
  <r>
    <s v="EMP1896"/>
    <s v="James Gonzalez"/>
    <x v="0"/>
    <x v="2"/>
    <s v="High School"/>
    <s v="Chicago"/>
    <x v="2"/>
    <s v="Software Engineer"/>
    <x v="0"/>
    <x v="55"/>
    <x v="1"/>
    <n v="2"/>
    <n v="6"/>
    <x v="2"/>
    <x v="0"/>
    <x v="0"/>
    <x v="1"/>
    <n v="7"/>
    <n v="55"/>
    <n v="71954"/>
    <n v="16500"/>
    <n v="9"/>
    <x v="0"/>
  </r>
  <r>
    <s v="EMP1897"/>
    <s v="Charles Hernandez"/>
    <x v="17"/>
    <x v="2"/>
    <s v="Master's"/>
    <s v="Chicago"/>
    <x v="5"/>
    <s v="SEO Specialist"/>
    <x v="0"/>
    <x v="653"/>
    <x v="2"/>
    <n v="0"/>
    <n v="19"/>
    <x v="2"/>
    <x v="4"/>
    <x v="1"/>
    <x v="1"/>
    <n v="14"/>
    <n v="43"/>
    <n v="49862"/>
    <n v="9900"/>
    <n v="8.8000000000000007"/>
    <x v="1"/>
  </r>
  <r>
    <s v="EMP1898"/>
    <s v="Susan Garcia"/>
    <x v="11"/>
    <x v="1"/>
    <s v="Bachelor's"/>
    <s v="San Jose"/>
    <x v="2"/>
    <s v="DevOps Engineer"/>
    <x v="0"/>
    <x v="654"/>
    <x v="1"/>
    <n v="2"/>
    <n v="19"/>
    <x v="0"/>
    <x v="0"/>
    <x v="3"/>
    <x v="1"/>
    <n v="3"/>
    <n v="18"/>
    <n v="82018"/>
    <n v="9400"/>
    <n v="6.7"/>
    <x v="1"/>
  </r>
  <r>
    <s v="EMP1899"/>
    <s v="Charles Johnson"/>
    <x v="5"/>
    <x v="2"/>
    <s v="PhD"/>
    <s v="New York"/>
    <x v="6"/>
    <s v="HR Executive"/>
    <x v="0"/>
    <x v="655"/>
    <x v="0"/>
    <n v="1"/>
    <n v="12"/>
    <x v="1"/>
    <x v="2"/>
    <x v="2"/>
    <x v="1"/>
    <n v="12"/>
    <n v="39"/>
    <n v="57844"/>
    <n v="1800"/>
    <n v="8.5"/>
    <x v="0"/>
  </r>
  <r>
    <s v="EMP1900"/>
    <s v="Betty Miller"/>
    <x v="19"/>
    <x v="1"/>
    <s v="Master's"/>
    <s v="New York"/>
    <x v="6"/>
    <s v="Recruiter"/>
    <x v="0"/>
    <x v="656"/>
    <x v="2"/>
    <n v="0"/>
    <n v="19"/>
    <x v="3"/>
    <x v="3"/>
    <x v="1"/>
    <x v="1"/>
    <n v="0"/>
    <n v="52"/>
    <n v="60284"/>
    <n v="3500"/>
    <n v="12.8"/>
    <x v="0"/>
  </r>
  <r>
    <s v="EMP1901"/>
    <s v="Daniel Brown"/>
    <x v="9"/>
    <x v="2"/>
    <s v="High School"/>
    <s v="San Jose"/>
    <x v="7"/>
    <s v="Network Engineer"/>
    <x v="0"/>
    <x v="657"/>
    <x v="2"/>
    <n v="0"/>
    <n v="19"/>
    <x v="0"/>
    <x v="0"/>
    <x v="0"/>
    <x v="1"/>
    <n v="22"/>
    <n v="48"/>
    <n v="92030"/>
    <n v="9700"/>
    <n v="8.6"/>
    <x v="1"/>
  </r>
  <r>
    <s v="EMP1902"/>
    <s v="James Lopez"/>
    <x v="18"/>
    <x v="2"/>
    <s v="Bachelor's"/>
    <s v="Los Angeles"/>
    <x v="2"/>
    <s v="Senior Engineer"/>
    <x v="2"/>
    <x v="658"/>
    <x v="0"/>
    <n v="1"/>
    <n v="1"/>
    <x v="2"/>
    <x v="2"/>
    <x v="4"/>
    <x v="0"/>
    <n v="16"/>
    <n v="79"/>
    <n v="84433"/>
    <n v="14600"/>
    <n v="8"/>
    <x v="0"/>
  </r>
  <r>
    <s v="EMP1903"/>
    <s v="Elizabeth Anderson"/>
    <x v="20"/>
    <x v="1"/>
    <s v="Bachelor's"/>
    <s v="Phoenix"/>
    <x v="7"/>
    <s v="IT Manager"/>
    <x v="0"/>
    <x v="659"/>
    <x v="0"/>
    <n v="1"/>
    <n v="14"/>
    <x v="3"/>
    <x v="3"/>
    <x v="0"/>
    <x v="0"/>
    <n v="3"/>
    <n v="50"/>
    <n v="76653"/>
    <n v="6200"/>
    <n v="14.3"/>
    <x v="0"/>
  </r>
  <r>
    <s v="EMP1904"/>
    <s v="Linda Wilson"/>
    <x v="5"/>
    <x v="1"/>
    <s v="Bachelor's"/>
    <s v="Dallas"/>
    <x v="0"/>
    <s v="Finance Manager"/>
    <x v="0"/>
    <x v="326"/>
    <x v="0"/>
    <n v="1"/>
    <n v="15"/>
    <x v="3"/>
    <x v="0"/>
    <x v="1"/>
    <x v="1"/>
    <n v="18"/>
    <n v="42"/>
    <n v="72671"/>
    <n v="4600"/>
    <n v="9.3000000000000007"/>
    <x v="0"/>
  </r>
  <r>
    <s v="EMP1905"/>
    <s v="Daniel Davis"/>
    <x v="19"/>
    <x v="2"/>
    <s v="Master's"/>
    <s v="San Diego"/>
    <x v="2"/>
    <s v="DevOps Engineer"/>
    <x v="0"/>
    <x v="281"/>
    <x v="1"/>
    <n v="2"/>
    <n v="18"/>
    <x v="2"/>
    <x v="0"/>
    <x v="1"/>
    <x v="1"/>
    <n v="15"/>
    <n v="5"/>
    <n v="105338"/>
    <n v="18200"/>
    <n v="14.6"/>
    <x v="0"/>
  </r>
  <r>
    <s v="EMP1906"/>
    <s v="Mark Wilson"/>
    <x v="5"/>
    <x v="2"/>
    <s v="Bachelor's"/>
    <s v="San Jose"/>
    <x v="6"/>
    <s v="L&amp;D Specialist"/>
    <x v="0"/>
    <x v="660"/>
    <x v="0"/>
    <n v="1"/>
    <n v="14"/>
    <x v="2"/>
    <x v="3"/>
    <x v="2"/>
    <x v="1"/>
    <n v="2"/>
    <n v="18"/>
    <n v="78378"/>
    <n v="17400"/>
    <n v="3.4"/>
    <x v="1"/>
  </r>
  <r>
    <s v="EMP1907"/>
    <s v="Margaret Smith"/>
    <x v="3"/>
    <x v="1"/>
    <s v="Bachelor's"/>
    <s v="San Jose"/>
    <x v="0"/>
    <s v="Finance Manager"/>
    <x v="0"/>
    <x v="661"/>
    <x v="1"/>
    <n v="2"/>
    <n v="12"/>
    <x v="0"/>
    <x v="3"/>
    <x v="0"/>
    <x v="1"/>
    <n v="10"/>
    <n v="80"/>
    <n v="62523"/>
    <n v="8600"/>
    <n v="7"/>
    <x v="0"/>
  </r>
  <r>
    <s v="EMP1908"/>
    <s v="Quinn Miller"/>
    <x v="21"/>
    <x v="0"/>
    <s v="Bachelor's"/>
    <s v="Los Angeles"/>
    <x v="3"/>
    <s v="Logistics Coordinator"/>
    <x v="0"/>
    <x v="662"/>
    <x v="3"/>
    <n v="3"/>
    <n v="7"/>
    <x v="0"/>
    <x v="2"/>
    <x v="0"/>
    <x v="0"/>
    <n v="11"/>
    <n v="6"/>
    <n v="68625"/>
    <n v="7200"/>
    <n v="11.3"/>
    <x v="0"/>
  </r>
  <r>
    <s v="EMP1909"/>
    <s v="Robert Brown"/>
    <x v="1"/>
    <x v="2"/>
    <s v="Diploma"/>
    <s v="Phoenix"/>
    <x v="1"/>
    <s v="Sales Manager"/>
    <x v="0"/>
    <x v="663"/>
    <x v="2"/>
    <n v="0"/>
    <n v="5"/>
    <x v="0"/>
    <x v="4"/>
    <x v="0"/>
    <x v="0"/>
    <n v="13"/>
    <n v="64"/>
    <n v="57773"/>
    <n v="6400"/>
    <n v="6.2"/>
    <x v="0"/>
  </r>
  <r>
    <s v="EMP1910"/>
    <s v="Sarah Wilson"/>
    <x v="3"/>
    <x v="1"/>
    <s v="Master's"/>
    <s v="San Diego"/>
    <x v="6"/>
    <s v="L&amp;D Specialist"/>
    <x v="0"/>
    <x v="664"/>
    <x v="3"/>
    <n v="3"/>
    <n v="11"/>
    <x v="0"/>
    <x v="3"/>
    <x v="1"/>
    <x v="1"/>
    <n v="14"/>
    <n v="33"/>
    <n v="58388"/>
    <n v="7200"/>
    <n v="3.6"/>
    <x v="0"/>
  </r>
  <r>
    <s v="EMP1911"/>
    <s v="Casey Brown"/>
    <x v="7"/>
    <x v="0"/>
    <s v="PhD"/>
    <s v="Chicago"/>
    <x v="5"/>
    <s v="Marketing Manager"/>
    <x v="0"/>
    <x v="665"/>
    <x v="0"/>
    <n v="1"/>
    <n v="8"/>
    <x v="1"/>
    <x v="3"/>
    <x v="3"/>
    <x v="1"/>
    <n v="6"/>
    <n v="25"/>
    <n v="69026"/>
    <n v="1800"/>
    <n v="12.8"/>
    <x v="0"/>
  </r>
  <r>
    <s v="EMP1912"/>
    <s v="Jennifer Martinez"/>
    <x v="18"/>
    <x v="1"/>
    <s v="Bachelor's"/>
    <s v="Phoenix"/>
    <x v="4"/>
    <s v="Support Lead"/>
    <x v="0"/>
    <x v="27"/>
    <x v="1"/>
    <n v="2"/>
    <n v="1"/>
    <x v="1"/>
    <x v="4"/>
    <x v="1"/>
    <x v="0"/>
    <n v="23"/>
    <n v="15"/>
    <n v="53796"/>
    <n v="1400"/>
    <n v="13.5"/>
    <x v="1"/>
  </r>
  <r>
    <s v="EMP1913"/>
    <s v="Elizabeth Anderson"/>
    <x v="7"/>
    <x v="1"/>
    <s v="PhD"/>
    <s v="Philadelphia"/>
    <x v="2"/>
    <s v="DevOps Engineer"/>
    <x v="0"/>
    <x v="105"/>
    <x v="3"/>
    <n v="3"/>
    <n v="14"/>
    <x v="3"/>
    <x v="1"/>
    <x v="3"/>
    <x v="0"/>
    <n v="7"/>
    <n v="74"/>
    <n v="115530"/>
    <n v="7500"/>
    <n v="13.8"/>
    <x v="1"/>
  </r>
  <r>
    <s v="EMP1914"/>
    <s v="Jennifer Brown"/>
    <x v="1"/>
    <x v="1"/>
    <s v="Bachelor's"/>
    <s v="New York"/>
    <x v="3"/>
    <s v="Supply Chain Analyst"/>
    <x v="0"/>
    <x v="666"/>
    <x v="3"/>
    <n v="3"/>
    <n v="5"/>
    <x v="0"/>
    <x v="0"/>
    <x v="3"/>
    <x v="1"/>
    <n v="21"/>
    <n v="16"/>
    <n v="64398"/>
    <n v="9100"/>
    <n v="12.6"/>
    <x v="0"/>
  </r>
  <r>
    <s v="EMP1915"/>
    <s v="David Smith"/>
    <x v="20"/>
    <x v="2"/>
    <s v="Master's"/>
    <s v="San Antonio"/>
    <x v="6"/>
    <s v="Recruiter"/>
    <x v="0"/>
    <x v="471"/>
    <x v="2"/>
    <n v="0"/>
    <n v="9"/>
    <x v="3"/>
    <x v="2"/>
    <x v="3"/>
    <x v="1"/>
    <n v="8"/>
    <n v="6"/>
    <n v="46657"/>
    <n v="3200"/>
    <n v="10.6"/>
    <x v="0"/>
  </r>
  <r>
    <s v="EMP1916"/>
    <s v="Thomas Brown"/>
    <x v="23"/>
    <x v="2"/>
    <s v="Bachelor's"/>
    <s v="Philadelphia"/>
    <x v="2"/>
    <s v="DevOps Engineer"/>
    <x v="0"/>
    <x v="667"/>
    <x v="2"/>
    <n v="0"/>
    <n v="16"/>
    <x v="2"/>
    <x v="2"/>
    <x v="4"/>
    <x v="1"/>
    <n v="22"/>
    <n v="32"/>
    <n v="78400"/>
    <n v="14500"/>
    <n v="3.5"/>
    <x v="0"/>
  </r>
  <r>
    <s v="EMP1917"/>
    <s v="Jessica Brown"/>
    <x v="1"/>
    <x v="1"/>
    <s v="Bachelor's"/>
    <s v="Philadelphia"/>
    <x v="0"/>
    <s v="Finance Manager"/>
    <x v="1"/>
    <x v="72"/>
    <x v="1"/>
    <n v="2"/>
    <n v="3"/>
    <x v="2"/>
    <x v="2"/>
    <x v="2"/>
    <x v="0"/>
    <n v="23"/>
    <n v="78"/>
    <n v="60540"/>
    <n v="9900"/>
    <n v="9.4"/>
    <x v="0"/>
  </r>
  <r>
    <s v="EMP1918"/>
    <s v="Sandra Anderson"/>
    <x v="8"/>
    <x v="1"/>
    <s v="Bachelor's"/>
    <s v="San Jose"/>
    <x v="6"/>
    <s v="HR Executive"/>
    <x v="0"/>
    <x v="105"/>
    <x v="3"/>
    <n v="3"/>
    <n v="2"/>
    <x v="3"/>
    <x v="3"/>
    <x v="3"/>
    <x v="1"/>
    <n v="19"/>
    <n v="40"/>
    <n v="42362"/>
    <n v="3500"/>
    <n v="10.199999999999999"/>
    <x v="0"/>
  </r>
  <r>
    <s v="EMP1919"/>
    <s v="Robert Williams"/>
    <x v="0"/>
    <x v="2"/>
    <s v="Bachelor's"/>
    <s v="Chicago"/>
    <x v="0"/>
    <s v="Financial Analyst"/>
    <x v="0"/>
    <x v="172"/>
    <x v="1"/>
    <n v="2"/>
    <n v="9"/>
    <x v="2"/>
    <x v="3"/>
    <x v="4"/>
    <x v="0"/>
    <n v="18"/>
    <n v="48"/>
    <n v="84779"/>
    <n v="13700"/>
    <n v="13.3"/>
    <x v="0"/>
  </r>
  <r>
    <s v="EMP1920"/>
    <s v="Nancy Lopez"/>
    <x v="2"/>
    <x v="1"/>
    <s v="High School"/>
    <s v="San Diego"/>
    <x v="0"/>
    <s v="Finance Manager"/>
    <x v="0"/>
    <x v="668"/>
    <x v="3"/>
    <n v="3"/>
    <n v="7"/>
    <x v="0"/>
    <x v="2"/>
    <x v="4"/>
    <x v="1"/>
    <n v="0"/>
    <n v="34"/>
    <n v="74295"/>
    <n v="10300"/>
    <n v="13"/>
    <x v="0"/>
  </r>
  <r>
    <s v="EMP1921"/>
    <s v="Robert Smith"/>
    <x v="4"/>
    <x v="2"/>
    <s v="Master's"/>
    <s v="San Jose"/>
    <x v="0"/>
    <s v="Controller"/>
    <x v="0"/>
    <x v="669"/>
    <x v="0"/>
    <n v="1"/>
    <n v="13"/>
    <x v="0"/>
    <x v="0"/>
    <x v="2"/>
    <x v="1"/>
    <n v="13"/>
    <n v="26"/>
    <n v="59677"/>
    <n v="8200"/>
    <n v="5.3"/>
    <x v="0"/>
  </r>
  <r>
    <s v="EMP1922"/>
    <s v="Karen Lopez"/>
    <x v="14"/>
    <x v="1"/>
    <s v="Master's"/>
    <s v="San Antonio"/>
    <x v="3"/>
    <s v="Operations Manager"/>
    <x v="0"/>
    <x v="670"/>
    <x v="0"/>
    <n v="1"/>
    <n v="9"/>
    <x v="0"/>
    <x v="4"/>
    <x v="4"/>
    <x v="0"/>
    <n v="17"/>
    <n v="10"/>
    <n v="77637"/>
    <n v="10400"/>
    <n v="4.9000000000000004"/>
    <x v="0"/>
  </r>
  <r>
    <s v="EMP1923"/>
    <s v="Jennifer Smith"/>
    <x v="21"/>
    <x v="1"/>
    <s v="Master's"/>
    <s v="Chicago"/>
    <x v="6"/>
    <s v="HR Manager"/>
    <x v="0"/>
    <x v="579"/>
    <x v="0"/>
    <n v="1"/>
    <n v="6"/>
    <x v="2"/>
    <x v="3"/>
    <x v="0"/>
    <x v="0"/>
    <n v="12"/>
    <n v="29"/>
    <n v="47669"/>
    <n v="11200"/>
    <n v="14.5"/>
    <x v="0"/>
  </r>
  <r>
    <s v="EMP1924"/>
    <s v="Christopher Lopez"/>
    <x v="2"/>
    <x v="2"/>
    <s v="Master's"/>
    <s v="Dallas"/>
    <x v="4"/>
    <s v="Support Analyst"/>
    <x v="0"/>
    <x v="671"/>
    <x v="1"/>
    <n v="2"/>
    <n v="6"/>
    <x v="2"/>
    <x v="0"/>
    <x v="3"/>
    <x v="1"/>
    <n v="23"/>
    <n v="13"/>
    <n v="40894"/>
    <n v="7800"/>
    <n v="7"/>
    <x v="0"/>
  </r>
  <r>
    <s v="EMP1925"/>
    <s v="Betty Wilson"/>
    <x v="17"/>
    <x v="1"/>
    <s v="Diploma"/>
    <s v="Los Angeles"/>
    <x v="0"/>
    <s v="Finance Manager"/>
    <x v="1"/>
    <x v="21"/>
    <x v="3"/>
    <n v="3"/>
    <n v="19"/>
    <x v="3"/>
    <x v="0"/>
    <x v="1"/>
    <x v="1"/>
    <n v="11"/>
    <n v="37"/>
    <n v="69709"/>
    <n v="4200"/>
    <n v="12.8"/>
    <x v="1"/>
  </r>
  <r>
    <s v="EMP1926"/>
    <s v="Sarah Williams"/>
    <x v="9"/>
    <x v="1"/>
    <s v="High School"/>
    <s v="Dallas"/>
    <x v="2"/>
    <s v="Software Engineer"/>
    <x v="0"/>
    <x v="184"/>
    <x v="2"/>
    <n v="0"/>
    <n v="18"/>
    <x v="3"/>
    <x v="3"/>
    <x v="4"/>
    <x v="0"/>
    <n v="24"/>
    <n v="17"/>
    <n v="109053"/>
    <n v="6400"/>
    <n v="10"/>
    <x v="0"/>
  </r>
  <r>
    <s v="EMP1927"/>
    <s v="Richard Williams"/>
    <x v="13"/>
    <x v="2"/>
    <s v="Bachelor's"/>
    <s v="San Antonio"/>
    <x v="2"/>
    <s v="Software Engineer"/>
    <x v="0"/>
    <x v="272"/>
    <x v="2"/>
    <n v="0"/>
    <n v="17"/>
    <x v="0"/>
    <x v="1"/>
    <x v="0"/>
    <x v="0"/>
    <n v="13"/>
    <n v="16"/>
    <n v="111114"/>
    <n v="14800"/>
    <n v="14.5"/>
    <x v="0"/>
  </r>
  <r>
    <s v="EMP1928"/>
    <s v="Robert Johnson"/>
    <x v="15"/>
    <x v="2"/>
    <s v="Bachelor's"/>
    <s v="Houston"/>
    <x v="6"/>
    <s v="HR Manager"/>
    <x v="0"/>
    <x v="597"/>
    <x v="1"/>
    <n v="2"/>
    <n v="5"/>
    <x v="2"/>
    <x v="1"/>
    <x v="4"/>
    <x v="0"/>
    <n v="23"/>
    <n v="62"/>
    <n v="51994"/>
    <n v="11200"/>
    <n v="3.5"/>
    <x v="0"/>
  </r>
  <r>
    <s v="EMP1929"/>
    <s v="Anthony Martinez"/>
    <x v="23"/>
    <x v="2"/>
    <s v="Master's"/>
    <s v="New York"/>
    <x v="3"/>
    <s v="Operations Analyst"/>
    <x v="0"/>
    <x v="240"/>
    <x v="2"/>
    <n v="0"/>
    <n v="14"/>
    <x v="2"/>
    <x v="4"/>
    <x v="2"/>
    <x v="1"/>
    <n v="13"/>
    <n v="2"/>
    <n v="79527"/>
    <n v="13700"/>
    <n v="11.4"/>
    <x v="0"/>
  </r>
  <r>
    <s v="EMP1930"/>
    <s v="Mary Smith"/>
    <x v="6"/>
    <x v="1"/>
    <s v="Bachelor's"/>
    <s v="Chicago"/>
    <x v="1"/>
    <s v="Sales Manager"/>
    <x v="0"/>
    <x v="672"/>
    <x v="0"/>
    <n v="1"/>
    <n v="6"/>
    <x v="0"/>
    <x v="2"/>
    <x v="3"/>
    <x v="1"/>
    <n v="17"/>
    <n v="0"/>
    <n v="80649"/>
    <n v="11100"/>
    <n v="3"/>
    <x v="0"/>
  </r>
  <r>
    <s v="EMP1931"/>
    <s v="Jennifer Anderson"/>
    <x v="5"/>
    <x v="1"/>
    <s v="Bachelor's"/>
    <s v="Houston"/>
    <x v="2"/>
    <s v="Tech Lead"/>
    <x v="0"/>
    <x v="673"/>
    <x v="2"/>
    <n v="0"/>
    <n v="19"/>
    <x v="0"/>
    <x v="2"/>
    <x v="3"/>
    <x v="1"/>
    <n v="16"/>
    <n v="78"/>
    <n v="122180"/>
    <n v="14300"/>
    <n v="12.9"/>
    <x v="0"/>
  </r>
  <r>
    <s v="EMP1932"/>
    <s v="Sandra Brown"/>
    <x v="14"/>
    <x v="1"/>
    <s v="Bachelor's"/>
    <s v="Chicago"/>
    <x v="3"/>
    <s v="Logistics Coordinator"/>
    <x v="0"/>
    <x v="285"/>
    <x v="1"/>
    <n v="2"/>
    <n v="3"/>
    <x v="3"/>
    <x v="1"/>
    <x v="3"/>
    <x v="1"/>
    <n v="13"/>
    <n v="70"/>
    <n v="52474"/>
    <n v="4400"/>
    <n v="14"/>
    <x v="0"/>
  </r>
  <r>
    <s v="EMP1933"/>
    <s v="Jordan Smith"/>
    <x v="5"/>
    <x v="0"/>
    <s v="Bachelor's"/>
    <s v="Houston"/>
    <x v="1"/>
    <s v="Account Manager"/>
    <x v="0"/>
    <x v="246"/>
    <x v="3"/>
    <n v="3"/>
    <n v="17"/>
    <x v="3"/>
    <x v="0"/>
    <x v="2"/>
    <x v="1"/>
    <n v="23"/>
    <n v="76"/>
    <n v="59785"/>
    <n v="3600"/>
    <n v="11.1"/>
    <x v="0"/>
  </r>
  <r>
    <s v="EMP1934"/>
    <s v="Elizabeth Lopez"/>
    <x v="25"/>
    <x v="1"/>
    <s v="Bachelor's"/>
    <s v="Dallas"/>
    <x v="1"/>
    <s v="Sales Executive"/>
    <x v="0"/>
    <x v="674"/>
    <x v="3"/>
    <n v="3"/>
    <n v="16"/>
    <x v="0"/>
    <x v="3"/>
    <x v="3"/>
    <x v="0"/>
    <n v="24"/>
    <n v="9"/>
    <n v="47847"/>
    <n v="6000"/>
    <n v="7.4"/>
    <x v="0"/>
  </r>
  <r>
    <s v="EMP1935"/>
    <s v="Joseph Miller"/>
    <x v="8"/>
    <x v="2"/>
    <s v="High School"/>
    <s v="San Diego"/>
    <x v="5"/>
    <s v="Marketing Manager"/>
    <x v="0"/>
    <x v="302"/>
    <x v="3"/>
    <n v="3"/>
    <n v="4"/>
    <x v="0"/>
    <x v="1"/>
    <x v="3"/>
    <x v="1"/>
    <n v="22"/>
    <n v="50"/>
    <n v="72459"/>
    <n v="8800"/>
    <n v="6"/>
    <x v="0"/>
  </r>
  <r>
    <s v="EMP1936"/>
    <s v="Anthony Miller"/>
    <x v="3"/>
    <x v="2"/>
    <s v="Bachelor's"/>
    <s v="Philadelphia"/>
    <x v="7"/>
    <s v="Systems Administrator"/>
    <x v="0"/>
    <x v="16"/>
    <x v="2"/>
    <n v="0"/>
    <n v="12"/>
    <x v="0"/>
    <x v="3"/>
    <x v="2"/>
    <x v="0"/>
    <n v="20"/>
    <n v="1"/>
    <n v="84374"/>
    <n v="10600"/>
    <n v="10.1"/>
    <x v="0"/>
  </r>
  <r>
    <s v="EMP1937"/>
    <s v="Sandra Williams"/>
    <x v="23"/>
    <x v="1"/>
    <s v="PhD"/>
    <s v="San Antonio"/>
    <x v="5"/>
    <s v="SEO Specialist"/>
    <x v="0"/>
    <x v="675"/>
    <x v="3"/>
    <n v="3"/>
    <n v="16"/>
    <x v="0"/>
    <x v="2"/>
    <x v="1"/>
    <x v="1"/>
    <n v="17"/>
    <n v="76"/>
    <n v="72001"/>
    <n v="10300"/>
    <n v="6.7"/>
    <x v="0"/>
  </r>
  <r>
    <s v="EMP1938"/>
    <s v="Christopher Davis"/>
    <x v="13"/>
    <x v="2"/>
    <s v="Bachelor's"/>
    <s v="Houston"/>
    <x v="4"/>
    <s v="Support Analyst"/>
    <x v="0"/>
    <x v="453"/>
    <x v="0"/>
    <n v="1"/>
    <n v="20"/>
    <x v="1"/>
    <x v="4"/>
    <x v="0"/>
    <x v="1"/>
    <n v="20"/>
    <n v="43"/>
    <n v="37466"/>
    <n v="1000"/>
    <n v="10.3"/>
    <x v="0"/>
  </r>
  <r>
    <s v="EMP1939"/>
    <s v="Charles Rodriguez"/>
    <x v="17"/>
    <x v="2"/>
    <s v="Bachelor's"/>
    <s v="New York"/>
    <x v="3"/>
    <s v="Operations Manager"/>
    <x v="0"/>
    <x v="676"/>
    <x v="3"/>
    <n v="3"/>
    <n v="19"/>
    <x v="0"/>
    <x v="0"/>
    <x v="1"/>
    <x v="1"/>
    <n v="1"/>
    <n v="20"/>
    <n v="64006"/>
    <n v="8600"/>
    <n v="5"/>
    <x v="0"/>
  </r>
  <r>
    <s v="EMP1940"/>
    <s v="Joseph Smith"/>
    <x v="23"/>
    <x v="2"/>
    <s v="Bachelor's"/>
    <s v="Dallas"/>
    <x v="2"/>
    <s v="DevOps Engineer"/>
    <x v="2"/>
    <x v="656"/>
    <x v="2"/>
    <n v="0"/>
    <n v="18"/>
    <x v="0"/>
    <x v="2"/>
    <x v="0"/>
    <x v="0"/>
    <n v="6"/>
    <n v="5"/>
    <n v="93480"/>
    <n v="12700"/>
    <n v="7.3"/>
    <x v="0"/>
  </r>
  <r>
    <s v="EMP1941"/>
    <s v="Christopher Wilson"/>
    <x v="12"/>
    <x v="2"/>
    <s v="PhD"/>
    <s v="San Diego"/>
    <x v="3"/>
    <s v="Supply Chain Analyst"/>
    <x v="0"/>
    <x v="167"/>
    <x v="1"/>
    <n v="2"/>
    <n v="16"/>
    <x v="0"/>
    <x v="1"/>
    <x v="1"/>
    <x v="1"/>
    <n v="0"/>
    <n v="27"/>
    <n v="51945"/>
    <n v="6000"/>
    <n v="13.4"/>
    <x v="1"/>
  </r>
  <r>
    <s v="EMP1942"/>
    <s v="Nancy Miller"/>
    <x v="9"/>
    <x v="1"/>
    <s v="Master's"/>
    <s v="San Jose"/>
    <x v="5"/>
    <s v="Marketing Analyst"/>
    <x v="0"/>
    <x v="677"/>
    <x v="2"/>
    <n v="0"/>
    <n v="20"/>
    <x v="1"/>
    <x v="4"/>
    <x v="0"/>
    <x v="0"/>
    <n v="21"/>
    <n v="37"/>
    <n v="46132"/>
    <n v="1600"/>
    <n v="7.6"/>
    <x v="1"/>
  </r>
  <r>
    <s v="EMP1943"/>
    <s v="James Rodriguez"/>
    <x v="0"/>
    <x v="2"/>
    <s v="Master's"/>
    <s v="Philadelphia"/>
    <x v="3"/>
    <s v="Logistics Coordinator"/>
    <x v="2"/>
    <x v="678"/>
    <x v="2"/>
    <n v="0"/>
    <n v="4"/>
    <x v="3"/>
    <x v="1"/>
    <x v="1"/>
    <x v="0"/>
    <n v="7"/>
    <n v="34"/>
    <n v="72161"/>
    <n v="5700"/>
    <n v="3.4"/>
    <x v="0"/>
  </r>
  <r>
    <s v="EMP1944"/>
    <s v="William Williams"/>
    <x v="6"/>
    <x v="2"/>
    <s v="High School"/>
    <s v="San Antonio"/>
    <x v="3"/>
    <s v="Supply Chain Analyst"/>
    <x v="0"/>
    <x v="674"/>
    <x v="3"/>
    <n v="3"/>
    <n v="9"/>
    <x v="1"/>
    <x v="0"/>
    <x v="1"/>
    <x v="1"/>
    <n v="10"/>
    <n v="44"/>
    <n v="81610"/>
    <n v="2400"/>
    <n v="14"/>
    <x v="1"/>
  </r>
  <r>
    <s v="EMP1945"/>
    <s v="Jennifer Garcia"/>
    <x v="15"/>
    <x v="1"/>
    <s v="Master's"/>
    <s v="Phoenix"/>
    <x v="2"/>
    <s v="DevOps Engineer"/>
    <x v="0"/>
    <x v="679"/>
    <x v="2"/>
    <n v="0"/>
    <n v="6"/>
    <x v="0"/>
    <x v="4"/>
    <x v="2"/>
    <x v="1"/>
    <n v="9"/>
    <n v="69"/>
    <n v="113487"/>
    <n v="16000"/>
    <n v="10.8"/>
    <x v="0"/>
  </r>
  <r>
    <s v="EMP1946"/>
    <s v="Elizabeth Garcia"/>
    <x v="3"/>
    <x v="1"/>
    <s v="Bachelor's"/>
    <s v="Philadelphia"/>
    <x v="1"/>
    <s v="Account Manager"/>
    <x v="0"/>
    <x v="680"/>
    <x v="1"/>
    <n v="2"/>
    <n v="11"/>
    <x v="0"/>
    <x v="0"/>
    <x v="1"/>
    <x v="0"/>
    <n v="5"/>
    <n v="76"/>
    <n v="60188"/>
    <n v="6700"/>
    <n v="8.9"/>
    <x v="1"/>
  </r>
  <r>
    <s v="EMP1947"/>
    <s v="Michael Miller"/>
    <x v="24"/>
    <x v="2"/>
    <s v="Diploma"/>
    <s v="San Antonio"/>
    <x v="7"/>
    <s v="IT Analyst"/>
    <x v="0"/>
    <x v="681"/>
    <x v="1"/>
    <n v="2"/>
    <n v="3"/>
    <x v="0"/>
    <x v="2"/>
    <x v="0"/>
    <x v="1"/>
    <n v="23"/>
    <n v="31"/>
    <n v="85952"/>
    <n v="11500"/>
    <n v="4.7"/>
    <x v="0"/>
  </r>
  <r>
    <s v="EMP1948"/>
    <s v="Nancy Hernandez"/>
    <x v="21"/>
    <x v="1"/>
    <s v="Master's"/>
    <s v="Los Angeles"/>
    <x v="1"/>
    <s v="Account Manager"/>
    <x v="1"/>
    <x v="682"/>
    <x v="0"/>
    <n v="1"/>
    <n v="6"/>
    <x v="2"/>
    <x v="3"/>
    <x v="2"/>
    <x v="0"/>
    <n v="11"/>
    <n v="78"/>
    <n v="65006"/>
    <n v="14800"/>
    <n v="4.7"/>
    <x v="0"/>
  </r>
  <r>
    <s v="EMP1949"/>
    <s v="James Garcia"/>
    <x v="15"/>
    <x v="2"/>
    <s v="Bachelor's"/>
    <s v="Houston"/>
    <x v="7"/>
    <s v="IT Analyst"/>
    <x v="0"/>
    <x v="683"/>
    <x v="3"/>
    <n v="3"/>
    <n v="2"/>
    <x v="0"/>
    <x v="0"/>
    <x v="4"/>
    <x v="1"/>
    <n v="14"/>
    <n v="67"/>
    <n v="61078"/>
    <n v="7200"/>
    <n v="6.2"/>
    <x v="0"/>
  </r>
  <r>
    <s v="EMP1950"/>
    <s v="Matthew Wilson"/>
    <x v="11"/>
    <x v="2"/>
    <s v="Master's"/>
    <s v="Houston"/>
    <x v="4"/>
    <s v="Customer Success Manager"/>
    <x v="0"/>
    <x v="206"/>
    <x v="2"/>
    <n v="0"/>
    <n v="19"/>
    <x v="0"/>
    <x v="2"/>
    <x v="1"/>
    <x v="0"/>
    <n v="7"/>
    <n v="24"/>
    <n v="53713"/>
    <n v="5800"/>
    <n v="13.2"/>
    <x v="0"/>
  </r>
  <r>
    <s v="EMP1951"/>
    <s v="Susan Johnson"/>
    <x v="7"/>
    <x v="1"/>
    <s v="Diploma"/>
    <s v="Dallas"/>
    <x v="0"/>
    <s v="Financial Analyst"/>
    <x v="0"/>
    <x v="291"/>
    <x v="3"/>
    <n v="3"/>
    <n v="8"/>
    <x v="0"/>
    <x v="0"/>
    <x v="2"/>
    <x v="0"/>
    <n v="17"/>
    <n v="60"/>
    <n v="66941"/>
    <n v="6500"/>
    <n v="8.6999999999999993"/>
    <x v="0"/>
  </r>
  <r>
    <s v="EMP1952"/>
    <s v="Anthony Rodriguez"/>
    <x v="21"/>
    <x v="2"/>
    <s v="Bachelor's"/>
    <s v="Houston"/>
    <x v="7"/>
    <s v="Network Engineer"/>
    <x v="0"/>
    <x v="684"/>
    <x v="2"/>
    <n v="0"/>
    <n v="3"/>
    <x v="3"/>
    <x v="2"/>
    <x v="1"/>
    <x v="1"/>
    <n v="3"/>
    <n v="65"/>
    <n v="84174"/>
    <n v="5700"/>
    <n v="13"/>
    <x v="0"/>
  </r>
  <r>
    <s v="EMP1953"/>
    <s v="Christopher Davis"/>
    <x v="12"/>
    <x v="2"/>
    <s v="Bachelor's"/>
    <s v="Los Angeles"/>
    <x v="7"/>
    <s v="IT Analyst"/>
    <x v="1"/>
    <x v="255"/>
    <x v="1"/>
    <n v="2"/>
    <n v="13"/>
    <x v="0"/>
    <x v="0"/>
    <x v="3"/>
    <x v="1"/>
    <n v="12"/>
    <n v="17"/>
    <n v="86404"/>
    <n v="9900"/>
    <n v="5"/>
    <x v="0"/>
  </r>
  <r>
    <s v="EMP1954"/>
    <s v="Lisa Gonzalez"/>
    <x v="26"/>
    <x v="1"/>
    <s v="Master's"/>
    <s v="Houston"/>
    <x v="3"/>
    <s v="Supply Chain Analyst"/>
    <x v="2"/>
    <x v="565"/>
    <x v="2"/>
    <n v="0"/>
    <n v="2"/>
    <x v="2"/>
    <x v="3"/>
    <x v="3"/>
    <x v="0"/>
    <n v="3"/>
    <n v="10"/>
    <n v="52350"/>
    <n v="10900"/>
    <n v="7.1"/>
    <x v="0"/>
  </r>
  <r>
    <s v="EMP1955"/>
    <s v="Barbara Anderson"/>
    <x v="7"/>
    <x v="1"/>
    <s v="Bachelor's"/>
    <s v="San Diego"/>
    <x v="2"/>
    <s v="DevOps Engineer"/>
    <x v="0"/>
    <x v="685"/>
    <x v="0"/>
    <n v="1"/>
    <n v="10"/>
    <x v="3"/>
    <x v="4"/>
    <x v="3"/>
    <x v="1"/>
    <n v="17"/>
    <n v="47"/>
    <n v="137449"/>
    <n v="8800"/>
    <n v="12"/>
    <x v="0"/>
  </r>
  <r>
    <s v="EMP1956"/>
    <s v="Daniel Martinez"/>
    <x v="23"/>
    <x v="2"/>
    <s v="PhD"/>
    <s v="Los Angeles"/>
    <x v="3"/>
    <s v="Logistics Coordinator"/>
    <x v="2"/>
    <x v="569"/>
    <x v="0"/>
    <n v="1"/>
    <n v="17"/>
    <x v="2"/>
    <x v="3"/>
    <x v="0"/>
    <x v="1"/>
    <n v="17"/>
    <n v="24"/>
    <n v="48364"/>
    <n v="8000"/>
    <n v="11.9"/>
    <x v="0"/>
  </r>
  <r>
    <s v="EMP1957"/>
    <s v="Jessica Smith"/>
    <x v="6"/>
    <x v="1"/>
    <s v="Diploma"/>
    <s v="Dallas"/>
    <x v="1"/>
    <s v="Business Development Rep"/>
    <x v="1"/>
    <x v="686"/>
    <x v="0"/>
    <n v="1"/>
    <n v="10"/>
    <x v="3"/>
    <x v="2"/>
    <x v="1"/>
    <x v="1"/>
    <n v="2"/>
    <n v="23"/>
    <n v="51480"/>
    <n v="4000"/>
    <n v="5.5"/>
    <x v="0"/>
  </r>
  <r>
    <s v="EMP1958"/>
    <s v="Linda Rodriguez"/>
    <x v="5"/>
    <x v="1"/>
    <s v="PhD"/>
    <s v="Philadelphia"/>
    <x v="5"/>
    <s v="Marketing Manager"/>
    <x v="0"/>
    <x v="687"/>
    <x v="0"/>
    <n v="1"/>
    <n v="18"/>
    <x v="0"/>
    <x v="1"/>
    <x v="0"/>
    <x v="0"/>
    <n v="21"/>
    <n v="73"/>
    <n v="82887"/>
    <n v="11900"/>
    <n v="8.9"/>
    <x v="0"/>
  </r>
  <r>
    <s v="EMP1959"/>
    <s v="Jessica Davis"/>
    <x v="3"/>
    <x v="1"/>
    <s v="Diploma"/>
    <s v="Philadelphia"/>
    <x v="5"/>
    <s v="Marketing Manager"/>
    <x v="0"/>
    <x v="688"/>
    <x v="3"/>
    <n v="3"/>
    <n v="5"/>
    <x v="0"/>
    <x v="2"/>
    <x v="1"/>
    <x v="1"/>
    <n v="24"/>
    <n v="59"/>
    <n v="72719"/>
    <n v="7800"/>
    <n v="12.5"/>
    <x v="1"/>
  </r>
  <r>
    <s v="EMP1960"/>
    <s v="Lisa Garcia"/>
    <x v="3"/>
    <x v="1"/>
    <s v="Master's"/>
    <s v="Dallas"/>
    <x v="0"/>
    <s v="Financial Analyst"/>
    <x v="0"/>
    <x v="689"/>
    <x v="1"/>
    <n v="2"/>
    <n v="13"/>
    <x v="2"/>
    <x v="2"/>
    <x v="2"/>
    <x v="1"/>
    <n v="9"/>
    <n v="17"/>
    <n v="62965"/>
    <n v="11300"/>
    <n v="10"/>
    <x v="1"/>
  </r>
  <r>
    <s v="EMP1961"/>
    <s v="Michael Lopez"/>
    <x v="2"/>
    <x v="2"/>
    <s v="Bachelor's"/>
    <s v="Chicago"/>
    <x v="0"/>
    <s v="Accountant"/>
    <x v="0"/>
    <x v="396"/>
    <x v="2"/>
    <n v="0"/>
    <n v="2"/>
    <x v="3"/>
    <x v="4"/>
    <x v="3"/>
    <x v="1"/>
    <n v="12"/>
    <n v="8"/>
    <n v="90062"/>
    <n v="7200"/>
    <n v="11.6"/>
    <x v="1"/>
  </r>
  <r>
    <s v="EMP1962"/>
    <s v="Betty Gonzalez"/>
    <x v="10"/>
    <x v="1"/>
    <s v="Diploma"/>
    <s v="Philadelphia"/>
    <x v="6"/>
    <s v="Recruiter"/>
    <x v="0"/>
    <x v="188"/>
    <x v="2"/>
    <n v="0"/>
    <n v="13"/>
    <x v="0"/>
    <x v="2"/>
    <x v="1"/>
    <x v="0"/>
    <n v="22"/>
    <n v="0"/>
    <n v="45168"/>
    <n v="5100"/>
    <n v="11.6"/>
    <x v="0"/>
  </r>
  <r>
    <s v="EMP1963"/>
    <s v="Margaret Gonzalez"/>
    <x v="20"/>
    <x v="1"/>
    <s v="Master's"/>
    <s v="Chicago"/>
    <x v="3"/>
    <s v="Supply Chain Analyst"/>
    <x v="0"/>
    <x v="206"/>
    <x v="2"/>
    <n v="0"/>
    <n v="10"/>
    <x v="3"/>
    <x v="1"/>
    <x v="1"/>
    <x v="1"/>
    <n v="12"/>
    <n v="37"/>
    <n v="50632"/>
    <n v="4100"/>
    <n v="12.8"/>
    <x v="0"/>
  </r>
  <r>
    <s v="EMP1964"/>
    <s v="Christopher Martinez"/>
    <x v="12"/>
    <x v="2"/>
    <s v="Master's"/>
    <s v="San Antonio"/>
    <x v="7"/>
    <s v="Network Engineer"/>
    <x v="0"/>
    <x v="690"/>
    <x v="3"/>
    <n v="3"/>
    <n v="17"/>
    <x v="0"/>
    <x v="3"/>
    <x v="3"/>
    <x v="1"/>
    <n v="9"/>
    <n v="22"/>
    <n v="66908"/>
    <n v="9200"/>
    <n v="9.5"/>
    <x v="0"/>
  </r>
  <r>
    <s v="EMP1965"/>
    <s v="William Jones"/>
    <x v="10"/>
    <x v="2"/>
    <s v="Bachelor's"/>
    <s v="Philadelphia"/>
    <x v="1"/>
    <s v="Sales Executive"/>
    <x v="0"/>
    <x v="691"/>
    <x v="3"/>
    <n v="3"/>
    <n v="14"/>
    <x v="0"/>
    <x v="3"/>
    <x v="2"/>
    <x v="1"/>
    <n v="8"/>
    <n v="5"/>
    <n v="51870"/>
    <n v="6700"/>
    <n v="14.5"/>
    <x v="0"/>
  </r>
  <r>
    <s v="EMP1966"/>
    <s v="Alex Brown"/>
    <x v="15"/>
    <x v="0"/>
    <s v="Bachelor's"/>
    <s v="Phoenix"/>
    <x v="2"/>
    <s v="Tech Lead"/>
    <x v="0"/>
    <x v="174"/>
    <x v="3"/>
    <n v="3"/>
    <n v="7"/>
    <x v="0"/>
    <x v="4"/>
    <x v="1"/>
    <x v="0"/>
    <n v="16"/>
    <n v="74"/>
    <n v="133780"/>
    <n v="15600"/>
    <n v="14.2"/>
    <x v="0"/>
  </r>
  <r>
    <s v="EMP1967"/>
    <s v="Betty Brown"/>
    <x v="5"/>
    <x v="1"/>
    <s v="Bachelor's"/>
    <s v="New York"/>
    <x v="1"/>
    <s v="Sales Manager"/>
    <x v="0"/>
    <x v="562"/>
    <x v="3"/>
    <n v="3"/>
    <n v="19"/>
    <x v="0"/>
    <x v="0"/>
    <x v="0"/>
    <x v="1"/>
    <n v="17"/>
    <n v="35"/>
    <n v="71354"/>
    <n v="9400"/>
    <n v="14"/>
    <x v="0"/>
  </r>
  <r>
    <s v="EMP1968"/>
    <s v="Margaret Garcia"/>
    <x v="3"/>
    <x v="1"/>
    <s v="Master's"/>
    <s v="San Antonio"/>
    <x v="4"/>
    <s v="Support Analyst"/>
    <x v="2"/>
    <x v="692"/>
    <x v="0"/>
    <n v="1"/>
    <n v="8"/>
    <x v="0"/>
    <x v="2"/>
    <x v="1"/>
    <x v="0"/>
    <n v="3"/>
    <n v="49"/>
    <n v="64253"/>
    <n v="8800"/>
    <n v="4.5"/>
    <x v="0"/>
  </r>
  <r>
    <s v="EMP1969"/>
    <s v="Betty Wilson"/>
    <x v="10"/>
    <x v="1"/>
    <s v="PhD"/>
    <s v="Dallas"/>
    <x v="6"/>
    <s v="Recruiter"/>
    <x v="0"/>
    <x v="9"/>
    <x v="3"/>
    <n v="3"/>
    <n v="7"/>
    <x v="0"/>
    <x v="0"/>
    <x v="3"/>
    <x v="1"/>
    <n v="12"/>
    <n v="36"/>
    <n v="44260"/>
    <n v="4700"/>
    <n v="8.6"/>
    <x v="0"/>
  </r>
  <r>
    <s v="EMP1970"/>
    <s v="Anthony Jones"/>
    <x v="27"/>
    <x v="2"/>
    <s v="Master's"/>
    <s v="Dallas"/>
    <x v="4"/>
    <s v="Support Analyst"/>
    <x v="0"/>
    <x v="224"/>
    <x v="3"/>
    <n v="3"/>
    <n v="1"/>
    <x v="1"/>
    <x v="0"/>
    <x v="4"/>
    <x v="0"/>
    <n v="8"/>
    <n v="21"/>
    <n v="38693"/>
    <n v="1100"/>
    <n v="9.1999999999999993"/>
    <x v="0"/>
  </r>
  <r>
    <s v="EMP1971"/>
    <s v="Patricia Hernandez"/>
    <x v="12"/>
    <x v="1"/>
    <s v="Master's"/>
    <s v="San Diego"/>
    <x v="2"/>
    <s v="Software Engineer"/>
    <x v="0"/>
    <x v="693"/>
    <x v="1"/>
    <n v="2"/>
    <n v="20"/>
    <x v="0"/>
    <x v="3"/>
    <x v="1"/>
    <x v="0"/>
    <n v="18"/>
    <n v="27"/>
    <n v="116674"/>
    <n v="12000"/>
    <n v="6.2"/>
    <x v="0"/>
  </r>
  <r>
    <s v="EMP1972"/>
    <s v="Matthew Brown"/>
    <x v="12"/>
    <x v="2"/>
    <s v="Bachelor's"/>
    <s v="Dallas"/>
    <x v="1"/>
    <s v="Sales Manager"/>
    <x v="0"/>
    <x v="694"/>
    <x v="3"/>
    <n v="3"/>
    <n v="16"/>
    <x v="1"/>
    <x v="4"/>
    <x v="4"/>
    <x v="1"/>
    <n v="18"/>
    <n v="52"/>
    <n v="86568"/>
    <n v="2200"/>
    <n v="6.3"/>
    <x v="1"/>
  </r>
  <r>
    <s v="EMP1973"/>
    <s v="David Johnson"/>
    <x v="15"/>
    <x v="2"/>
    <s v="Bachelor's"/>
    <s v="Dallas"/>
    <x v="3"/>
    <s v="Operations Manager"/>
    <x v="2"/>
    <x v="695"/>
    <x v="2"/>
    <n v="0"/>
    <n v="5"/>
    <x v="3"/>
    <x v="1"/>
    <x v="1"/>
    <x v="0"/>
    <n v="6"/>
    <n v="39"/>
    <n v="62368"/>
    <n v="4700"/>
    <n v="11.1"/>
    <x v="0"/>
  </r>
  <r>
    <s v="EMP1974"/>
    <s v="Patricia Lopez"/>
    <x v="7"/>
    <x v="1"/>
    <s v="Bachelor's"/>
    <s v="New York"/>
    <x v="4"/>
    <s v="Support Analyst"/>
    <x v="0"/>
    <x v="657"/>
    <x v="2"/>
    <n v="0"/>
    <n v="16"/>
    <x v="0"/>
    <x v="0"/>
    <x v="2"/>
    <x v="1"/>
    <n v="13"/>
    <n v="17"/>
    <n v="48086"/>
    <n v="6100"/>
    <n v="3.7"/>
    <x v="0"/>
  </r>
  <r>
    <s v="EMP1975"/>
    <s v="Linda Miller"/>
    <x v="25"/>
    <x v="1"/>
    <s v="Master's"/>
    <s v="New York"/>
    <x v="2"/>
    <s v="Software Engineer"/>
    <x v="0"/>
    <x v="484"/>
    <x v="3"/>
    <n v="3"/>
    <n v="15"/>
    <x v="2"/>
    <x v="4"/>
    <x v="3"/>
    <x v="1"/>
    <n v="19"/>
    <n v="59"/>
    <n v="73935"/>
    <n v="14800"/>
    <n v="4.5999999999999996"/>
    <x v="0"/>
  </r>
  <r>
    <s v="EMP1976"/>
    <s v="Matthew Smith"/>
    <x v="24"/>
    <x v="2"/>
    <s v="Bachelor's"/>
    <s v="Chicago"/>
    <x v="2"/>
    <s v="Software Engineer"/>
    <x v="0"/>
    <x v="679"/>
    <x v="2"/>
    <n v="0"/>
    <n v="3"/>
    <x v="0"/>
    <x v="1"/>
    <x v="4"/>
    <x v="1"/>
    <n v="10"/>
    <n v="35"/>
    <n v="119895"/>
    <n v="15800"/>
    <n v="8.6999999999999993"/>
    <x v="1"/>
  </r>
  <r>
    <s v="EMP1977"/>
    <s v="Jessica Johnson"/>
    <x v="2"/>
    <x v="1"/>
    <s v="PhD"/>
    <s v="Phoenix"/>
    <x v="1"/>
    <s v="Business Development Rep"/>
    <x v="0"/>
    <x v="505"/>
    <x v="1"/>
    <n v="2"/>
    <n v="3"/>
    <x v="0"/>
    <x v="0"/>
    <x v="3"/>
    <x v="1"/>
    <n v="11"/>
    <n v="18"/>
    <n v="74804"/>
    <n v="8100"/>
    <n v="3.6"/>
    <x v="0"/>
  </r>
  <r>
    <s v="EMP1978"/>
    <s v="Mary Williams"/>
    <x v="11"/>
    <x v="1"/>
    <s v="PhD"/>
    <s v="San Diego"/>
    <x v="7"/>
    <s v="IT Analyst"/>
    <x v="0"/>
    <x v="37"/>
    <x v="0"/>
    <n v="1"/>
    <n v="19"/>
    <x v="1"/>
    <x v="4"/>
    <x v="3"/>
    <x v="0"/>
    <n v="12"/>
    <n v="78"/>
    <n v="64300"/>
    <n v="2200"/>
    <n v="11"/>
    <x v="1"/>
  </r>
  <r>
    <s v="EMP1979"/>
    <s v="Robert Miller"/>
    <x v="2"/>
    <x v="2"/>
    <s v="Master's"/>
    <s v="Chicago"/>
    <x v="2"/>
    <s v="Software Engineer"/>
    <x v="0"/>
    <x v="696"/>
    <x v="0"/>
    <n v="1"/>
    <n v="8"/>
    <x v="3"/>
    <x v="3"/>
    <x v="4"/>
    <x v="1"/>
    <n v="18"/>
    <n v="69"/>
    <n v="80341"/>
    <n v="5900"/>
    <n v="6.6"/>
    <x v="0"/>
  </r>
  <r>
    <s v="EMP1980"/>
    <s v="James Williams"/>
    <x v="8"/>
    <x v="2"/>
    <s v="High School"/>
    <s v="Phoenix"/>
    <x v="5"/>
    <s v="Content Strategist"/>
    <x v="0"/>
    <x v="561"/>
    <x v="3"/>
    <n v="3"/>
    <n v="4"/>
    <x v="0"/>
    <x v="2"/>
    <x v="2"/>
    <x v="1"/>
    <n v="8"/>
    <n v="61"/>
    <n v="80194"/>
    <n v="10900"/>
    <n v="5"/>
    <x v="0"/>
  </r>
  <r>
    <s v="EMP1981"/>
    <s v="Sandra Rodriguez"/>
    <x v="4"/>
    <x v="1"/>
    <s v="High School"/>
    <s v="San Diego"/>
    <x v="1"/>
    <s v="Business Development Rep"/>
    <x v="2"/>
    <x v="210"/>
    <x v="2"/>
    <n v="0"/>
    <n v="15"/>
    <x v="0"/>
    <x v="2"/>
    <x v="1"/>
    <x v="1"/>
    <n v="18"/>
    <n v="14"/>
    <n v="45633"/>
    <n v="5000"/>
    <n v="8.5"/>
    <x v="1"/>
  </r>
  <r>
    <s v="EMP1982"/>
    <s v="Charles Wilson"/>
    <x v="2"/>
    <x v="2"/>
    <s v="Bachelor's"/>
    <s v="Houston"/>
    <x v="4"/>
    <s v="Support Executive"/>
    <x v="0"/>
    <x v="697"/>
    <x v="1"/>
    <n v="2"/>
    <n v="10"/>
    <x v="3"/>
    <x v="0"/>
    <x v="3"/>
    <x v="1"/>
    <n v="10"/>
    <n v="29"/>
    <n v="53719"/>
    <n v="4200"/>
    <n v="14.2"/>
    <x v="0"/>
  </r>
  <r>
    <s v="EMP1983"/>
    <s v="Sarah Miller"/>
    <x v="5"/>
    <x v="1"/>
    <s v="Bachelor's"/>
    <s v="New York"/>
    <x v="1"/>
    <s v="Account Manager"/>
    <x v="0"/>
    <x v="698"/>
    <x v="0"/>
    <n v="1"/>
    <n v="17"/>
    <x v="1"/>
    <x v="0"/>
    <x v="3"/>
    <x v="1"/>
    <n v="23"/>
    <n v="62"/>
    <n v="82623"/>
    <n v="2400"/>
    <n v="6.3"/>
    <x v="1"/>
  </r>
  <r>
    <s v="EMP1984"/>
    <s v="Elizabeth Anderson"/>
    <x v="15"/>
    <x v="1"/>
    <s v="Bachelor's"/>
    <s v="San Diego"/>
    <x v="5"/>
    <s v="Marketing Manager"/>
    <x v="0"/>
    <x v="699"/>
    <x v="0"/>
    <n v="1"/>
    <n v="7"/>
    <x v="0"/>
    <x v="1"/>
    <x v="0"/>
    <x v="1"/>
    <n v="0"/>
    <n v="0"/>
    <n v="46191"/>
    <n v="5300"/>
    <n v="12.5"/>
    <x v="0"/>
  </r>
  <r>
    <s v="EMP1985"/>
    <s v="John Miller"/>
    <x v="8"/>
    <x v="2"/>
    <s v="Master's"/>
    <s v="San Jose"/>
    <x v="0"/>
    <s v="Financial Analyst"/>
    <x v="0"/>
    <x v="352"/>
    <x v="3"/>
    <n v="3"/>
    <n v="3"/>
    <x v="0"/>
    <x v="2"/>
    <x v="2"/>
    <x v="1"/>
    <n v="23"/>
    <n v="79"/>
    <n v="103587"/>
    <n v="14000"/>
    <n v="4.7"/>
    <x v="0"/>
  </r>
  <r>
    <s v="EMP1986"/>
    <s v="Thomas Gonzalez"/>
    <x v="14"/>
    <x v="2"/>
    <s v="Bachelor's"/>
    <s v="San Jose"/>
    <x v="3"/>
    <s v="Operations Analyst"/>
    <x v="0"/>
    <x v="509"/>
    <x v="0"/>
    <n v="1"/>
    <n v="3"/>
    <x v="0"/>
    <x v="0"/>
    <x v="3"/>
    <x v="1"/>
    <n v="13"/>
    <n v="15"/>
    <n v="61909"/>
    <n v="6100"/>
    <n v="3.3"/>
    <x v="0"/>
  </r>
  <r>
    <s v="EMP1987"/>
    <s v="Linda Davis"/>
    <x v="21"/>
    <x v="1"/>
    <s v="Bachelor's"/>
    <s v="Phoenix"/>
    <x v="7"/>
    <s v="IT Analyst"/>
    <x v="0"/>
    <x v="700"/>
    <x v="3"/>
    <n v="3"/>
    <n v="3"/>
    <x v="0"/>
    <x v="1"/>
    <x v="3"/>
    <x v="1"/>
    <n v="20"/>
    <n v="33"/>
    <n v="94592"/>
    <n v="10800"/>
    <n v="6.1"/>
    <x v="0"/>
  </r>
  <r>
    <s v="EMP1988"/>
    <s v="Michael Garcia"/>
    <x v="6"/>
    <x v="2"/>
    <s v="Bachelor's"/>
    <s v="San Antonio"/>
    <x v="2"/>
    <s v="Software Engineer"/>
    <x v="0"/>
    <x v="701"/>
    <x v="1"/>
    <n v="2"/>
    <n v="14"/>
    <x v="1"/>
    <x v="1"/>
    <x v="1"/>
    <x v="1"/>
    <n v="1"/>
    <n v="70"/>
    <n v="119160"/>
    <n v="3700"/>
    <n v="6"/>
    <x v="0"/>
  </r>
  <r>
    <s v="EMP1989"/>
    <s v="Christopher Lopez"/>
    <x v="5"/>
    <x v="2"/>
    <s v="Master's"/>
    <s v="Chicago"/>
    <x v="3"/>
    <s v="Operations Manager"/>
    <x v="1"/>
    <x v="572"/>
    <x v="3"/>
    <n v="3"/>
    <n v="18"/>
    <x v="1"/>
    <x v="4"/>
    <x v="3"/>
    <x v="1"/>
    <n v="1"/>
    <n v="67"/>
    <n v="54975"/>
    <n v="1700"/>
    <n v="9.1999999999999993"/>
    <x v="0"/>
  </r>
  <r>
    <s v="EMP1990"/>
    <s v="John Davis"/>
    <x v="0"/>
    <x v="2"/>
    <s v="Bachelor's"/>
    <s v="San Diego"/>
    <x v="1"/>
    <s v="Account Manager"/>
    <x v="0"/>
    <x v="702"/>
    <x v="0"/>
    <n v="1"/>
    <n v="5"/>
    <x v="0"/>
    <x v="3"/>
    <x v="1"/>
    <x v="0"/>
    <n v="5"/>
    <n v="79"/>
    <n v="68495"/>
    <n v="7200"/>
    <n v="6.7"/>
    <x v="0"/>
  </r>
  <r>
    <s v="EMP1991"/>
    <s v="Quinn Williams"/>
    <x v="2"/>
    <x v="0"/>
    <s v="Diploma"/>
    <s v="San Antonio"/>
    <x v="2"/>
    <s v="Software Engineer"/>
    <x v="0"/>
    <x v="703"/>
    <x v="0"/>
    <n v="1"/>
    <n v="4"/>
    <x v="3"/>
    <x v="1"/>
    <x v="1"/>
    <x v="1"/>
    <n v="14"/>
    <n v="77"/>
    <n v="93159"/>
    <n v="7800"/>
    <n v="7.2"/>
    <x v="1"/>
  </r>
  <r>
    <s v="EMP1992"/>
    <s v="William Miller"/>
    <x v="1"/>
    <x v="2"/>
    <s v="Master's"/>
    <s v="Houston"/>
    <x v="1"/>
    <s v="Sales Manager"/>
    <x v="1"/>
    <x v="223"/>
    <x v="2"/>
    <n v="0"/>
    <n v="3"/>
    <x v="2"/>
    <x v="0"/>
    <x v="0"/>
    <x v="1"/>
    <n v="23"/>
    <n v="80"/>
    <n v="79234"/>
    <n v="13200"/>
    <n v="4.0999999999999996"/>
    <x v="0"/>
  </r>
  <r>
    <s v="EMP1993"/>
    <s v="John Williams"/>
    <x v="11"/>
    <x v="2"/>
    <s v="Bachelor's"/>
    <s v="Phoenix"/>
    <x v="5"/>
    <s v="SEO Specialist"/>
    <x v="0"/>
    <x v="564"/>
    <x v="3"/>
    <n v="3"/>
    <n v="18"/>
    <x v="0"/>
    <x v="1"/>
    <x v="4"/>
    <x v="1"/>
    <n v="20"/>
    <n v="22"/>
    <n v="73140"/>
    <n v="8200"/>
    <n v="14.5"/>
    <x v="0"/>
  </r>
  <r>
    <s v="EMP1994"/>
    <s v="Jamie Brown"/>
    <x v="26"/>
    <x v="0"/>
    <s v="Master's"/>
    <s v="Phoenix"/>
    <x v="2"/>
    <s v="Senior Engineer"/>
    <x v="0"/>
    <x v="641"/>
    <x v="0"/>
    <n v="1"/>
    <n v="1"/>
    <x v="0"/>
    <x v="0"/>
    <x v="4"/>
    <x v="1"/>
    <n v="7"/>
    <n v="44"/>
    <n v="113633"/>
    <n v="12900"/>
    <n v="11.6"/>
    <x v="0"/>
  </r>
  <r>
    <s v="EMP1995"/>
    <s v="Richard Rodriguez"/>
    <x v="16"/>
    <x v="2"/>
    <s v="PhD"/>
    <s v="San Antonio"/>
    <x v="7"/>
    <s v="Systems Administrator"/>
    <x v="1"/>
    <x v="460"/>
    <x v="1"/>
    <n v="2"/>
    <n v="4"/>
    <x v="1"/>
    <x v="4"/>
    <x v="3"/>
    <x v="1"/>
    <n v="4"/>
    <n v="35"/>
    <n v="98789"/>
    <n v="2800"/>
    <n v="14.8"/>
    <x v="0"/>
  </r>
  <r>
    <s v="EMP1996"/>
    <s v="Karen Anderson"/>
    <x v="9"/>
    <x v="1"/>
    <s v="Master's"/>
    <s v="New York"/>
    <x v="1"/>
    <s v="Sales Executive"/>
    <x v="0"/>
    <x v="367"/>
    <x v="2"/>
    <n v="0"/>
    <n v="18"/>
    <x v="3"/>
    <x v="3"/>
    <x v="1"/>
    <x v="0"/>
    <n v="1"/>
    <n v="52"/>
    <n v="62666"/>
    <n v="4000"/>
    <n v="8.6"/>
    <x v="1"/>
  </r>
  <r>
    <s v="EMP1997"/>
    <s v="Barbara Rodriguez"/>
    <x v="21"/>
    <x v="1"/>
    <s v="Bachelor's"/>
    <s v="San Antonio"/>
    <x v="2"/>
    <s v="Software Engineer"/>
    <x v="0"/>
    <x v="476"/>
    <x v="2"/>
    <n v="0"/>
    <n v="5"/>
    <x v="3"/>
    <x v="1"/>
    <x v="3"/>
    <x v="1"/>
    <n v="2"/>
    <n v="43"/>
    <n v="105635"/>
    <n v="6800"/>
    <n v="6.7"/>
    <x v="0"/>
  </r>
  <r>
    <s v="EMP1998"/>
    <s v="Karen Lopez"/>
    <x v="14"/>
    <x v="1"/>
    <s v="Bachelor's"/>
    <s v="Los Angeles"/>
    <x v="2"/>
    <s v="DevOps Engineer"/>
    <x v="0"/>
    <x v="392"/>
    <x v="0"/>
    <n v="1"/>
    <n v="9"/>
    <x v="3"/>
    <x v="2"/>
    <x v="2"/>
    <x v="1"/>
    <n v="24"/>
    <n v="25"/>
    <n v="122385"/>
    <n v="7800"/>
    <n v="6.4"/>
    <x v="0"/>
  </r>
  <r>
    <s v="EMP1999"/>
    <s v="Jessica Brown"/>
    <x v="0"/>
    <x v="1"/>
    <s v="Bachelor's"/>
    <s v="Los Angeles"/>
    <x v="7"/>
    <s v="IT Analyst"/>
    <x v="0"/>
    <x v="506"/>
    <x v="3"/>
    <n v="3"/>
    <n v="8"/>
    <x v="0"/>
    <x v="3"/>
    <x v="0"/>
    <x v="0"/>
    <n v="13"/>
    <n v="68"/>
    <n v="99378"/>
    <n v="10900"/>
    <n v="13.5"/>
    <x v="0"/>
  </r>
  <r>
    <s v="EMP2000"/>
    <s v="Jamie Jones"/>
    <x v="1"/>
    <x v="0"/>
    <s v="High School"/>
    <s v="Los Angeles"/>
    <x v="4"/>
    <s v="Support Executive"/>
    <x v="2"/>
    <x v="551"/>
    <x v="3"/>
    <n v="3"/>
    <n v="4"/>
    <x v="2"/>
    <x v="0"/>
    <x v="3"/>
    <x v="1"/>
    <n v="0"/>
    <n v="15"/>
    <n v="40955"/>
    <n v="9200"/>
    <n v="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8BF0D0-6EE1-49FD-8BE7-82231C8BAB70}" name="Job Satisfaction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Job Satisfaction Distribution">
  <location ref="D17:E23" firstHeaderRow="1" firstDataRow="1" firstDataCol="1"/>
  <pivotFields count="23">
    <pivotField dataField="1" showAll="0"/>
    <pivotField showAll="0"/>
    <pivotField showAll="0"/>
    <pivotField showAll="0">
      <items count="4">
        <item x="1"/>
        <item x="2"/>
        <item x="0"/>
        <item t="default"/>
      </items>
    </pivotField>
    <pivotField showAll="0"/>
    <pivotField showAll="0"/>
    <pivotField showAll="0">
      <items count="9">
        <item x="4"/>
        <item x="2"/>
        <item x="0"/>
        <item x="6"/>
        <item x="7"/>
        <item x="5"/>
        <item x="3"/>
        <item x="1"/>
        <item t="default"/>
      </items>
    </pivotField>
    <pivotField showAll="0"/>
    <pivotField showAll="0">
      <items count="4">
        <item x="1"/>
        <item x="0"/>
        <item x="2"/>
        <item t="default"/>
      </items>
    </pivotField>
    <pivotField showAll="0">
      <items count="705">
        <item x="544"/>
        <item x="303"/>
        <item x="21"/>
        <item x="51"/>
        <item x="484"/>
        <item x="578"/>
        <item x="332"/>
        <item x="513"/>
        <item x="664"/>
        <item x="352"/>
        <item x="694"/>
        <item x="386"/>
        <item x="119"/>
        <item x="468"/>
        <item x="307"/>
        <item x="71"/>
        <item x="312"/>
        <item x="164"/>
        <item x="363"/>
        <item x="247"/>
        <item x="83"/>
        <item x="107"/>
        <item x="584"/>
        <item x="700"/>
        <item x="561"/>
        <item x="252"/>
        <item x="607"/>
        <item x="69"/>
        <item x="126"/>
        <item x="121"/>
        <item x="441"/>
        <item x="500"/>
        <item x="226"/>
        <item x="568"/>
        <item x="426"/>
        <item x="66"/>
        <item x="243"/>
        <item x="354"/>
        <item x="174"/>
        <item x="429"/>
        <item x="443"/>
        <item x="142"/>
        <item x="572"/>
        <item x="12"/>
        <item x="599"/>
        <item x="61"/>
        <item x="385"/>
        <item x="202"/>
        <item x="177"/>
        <item x="246"/>
        <item x="310"/>
        <item x="666"/>
        <item x="9"/>
        <item x="102"/>
        <item x="491"/>
        <item x="234"/>
        <item x="91"/>
        <item x="98"/>
        <item x="633"/>
        <item x="224"/>
        <item x="467"/>
        <item x="434"/>
        <item x="94"/>
        <item x="112"/>
        <item x="335"/>
        <item x="120"/>
        <item x="229"/>
        <item x="323"/>
        <item x="553"/>
        <item x="617"/>
        <item x="489"/>
        <item x="511"/>
        <item x="151"/>
        <item x="528"/>
        <item x="298"/>
        <item x="171"/>
        <item x="435"/>
        <item x="108"/>
        <item x="635"/>
        <item x="113"/>
        <item x="688"/>
        <item x="254"/>
        <item x="25"/>
        <item x="301"/>
        <item x="209"/>
        <item x="495"/>
        <item x="649"/>
        <item x="26"/>
        <item x="442"/>
        <item x="622"/>
        <item x="551"/>
        <item x="616"/>
        <item x="20"/>
        <item x="350"/>
        <item x="253"/>
        <item x="676"/>
        <item x="304"/>
        <item x="604"/>
        <item x="611"/>
        <item x="674"/>
        <item x="280"/>
        <item x="331"/>
        <item x="68"/>
        <item x="320"/>
        <item x="44"/>
        <item x="11"/>
        <item x="624"/>
        <item x="325"/>
        <item x="75"/>
        <item x="138"/>
        <item x="477"/>
        <item x="675"/>
        <item x="417"/>
        <item x="88"/>
        <item x="302"/>
        <item x="634"/>
        <item x="52"/>
        <item x="204"/>
        <item x="605"/>
        <item x="557"/>
        <item x="563"/>
        <item x="105"/>
        <item x="170"/>
        <item x="284"/>
        <item x="487"/>
        <item x="306"/>
        <item x="146"/>
        <item x="424"/>
        <item x="248"/>
        <item x="283"/>
        <item x="343"/>
        <item x="275"/>
        <item x="404"/>
        <item x="571"/>
        <item x="516"/>
        <item x="106"/>
        <item x="32"/>
        <item x="62"/>
        <item x="324"/>
        <item x="683"/>
        <item x="357"/>
        <item x="543"/>
        <item x="78"/>
        <item x="562"/>
        <item x="403"/>
        <item x="402"/>
        <item x="497"/>
        <item x="662"/>
        <item x="379"/>
        <item x="194"/>
        <item x="197"/>
        <item x="514"/>
        <item x="8"/>
        <item x="690"/>
        <item x="321"/>
        <item x="564"/>
        <item x="239"/>
        <item x="221"/>
        <item x="506"/>
        <item x="219"/>
        <item x="213"/>
        <item x="150"/>
        <item x="448"/>
        <item x="222"/>
        <item x="412"/>
        <item x="613"/>
        <item x="380"/>
        <item x="648"/>
        <item x="439"/>
        <item x="556"/>
        <item x="186"/>
        <item x="575"/>
        <item x="40"/>
        <item x="60"/>
        <item x="291"/>
        <item x="300"/>
        <item x="80"/>
        <item x="168"/>
        <item x="668"/>
        <item x="618"/>
        <item x="691"/>
        <item x="418"/>
        <item x="451"/>
        <item x="465"/>
        <item x="158"/>
        <item x="218"/>
        <item x="637"/>
        <item x="576"/>
        <item x="27"/>
        <item x="198"/>
        <item x="358"/>
        <item x="55"/>
        <item x="601"/>
        <item x="376"/>
        <item x="645"/>
        <item x="566"/>
        <item x="43"/>
        <item x="416"/>
        <item x="636"/>
        <item x="238"/>
        <item x="433"/>
        <item x="87"/>
        <item x="375"/>
        <item x="348"/>
        <item x="384"/>
        <item x="368"/>
        <item x="340"/>
        <item x="697"/>
        <item x="535"/>
        <item x="512"/>
        <item x="496"/>
        <item x="531"/>
        <item x="640"/>
        <item x="205"/>
        <item x="100"/>
        <item x="192"/>
        <item x="567"/>
        <item x="24"/>
        <item x="193"/>
        <item x="181"/>
        <item x="460"/>
        <item x="296"/>
        <item x="31"/>
        <item x="450"/>
        <item x="609"/>
        <item x="86"/>
        <item x="7"/>
        <item x="282"/>
        <item x="689"/>
        <item x="650"/>
        <item x="93"/>
        <item x="319"/>
        <item x="89"/>
        <item x="508"/>
        <item x="693"/>
        <item x="258"/>
        <item x="546"/>
        <item x="241"/>
        <item x="459"/>
        <item x="570"/>
        <item x="179"/>
        <item x="308"/>
        <item x="215"/>
        <item x="482"/>
        <item x="525"/>
        <item x="117"/>
        <item x="462"/>
        <item x="537"/>
        <item x="603"/>
        <item x="341"/>
        <item x="366"/>
        <item x="159"/>
        <item x="255"/>
        <item x="701"/>
        <item x="536"/>
        <item x="586"/>
        <item x="345"/>
        <item x="256"/>
        <item x="422"/>
        <item x="542"/>
        <item x="77"/>
        <item x="70"/>
        <item x="510"/>
        <item x="125"/>
        <item x="289"/>
        <item x="492"/>
        <item x="389"/>
        <item x="14"/>
        <item x="504"/>
        <item x="370"/>
        <item x="1"/>
        <item x="589"/>
        <item x="630"/>
        <item x="423"/>
        <item x="539"/>
        <item x="347"/>
        <item x="494"/>
        <item x="104"/>
        <item x="56"/>
        <item x="53"/>
        <item x="503"/>
        <item x="195"/>
        <item x="196"/>
        <item x="161"/>
        <item x="82"/>
        <item x="643"/>
        <item x="191"/>
        <item x="631"/>
        <item x="278"/>
        <item x="290"/>
        <item x="438"/>
        <item x="237"/>
        <item x="623"/>
        <item x="421"/>
        <item x="235"/>
        <item x="172"/>
        <item x="285"/>
        <item x="346"/>
        <item x="274"/>
        <item x="493"/>
        <item x="72"/>
        <item x="574"/>
        <item x="336"/>
        <item x="228"/>
        <item x="153"/>
        <item x="475"/>
        <item x="485"/>
        <item x="207"/>
        <item x="249"/>
        <item x="391"/>
        <item x="244"/>
        <item x="175"/>
        <item x="74"/>
        <item x="245"/>
        <item x="39"/>
        <item x="315"/>
        <item x="169"/>
        <item x="505"/>
        <item x="413"/>
        <item x="271"/>
        <item x="19"/>
        <item x="155"/>
        <item x="266"/>
        <item x="124"/>
        <item x="680"/>
        <item x="383"/>
        <item x="230"/>
        <item x="65"/>
        <item x="329"/>
        <item x="167"/>
        <item x="281"/>
        <item x="583"/>
        <item x="499"/>
        <item x="344"/>
        <item x="681"/>
        <item x="654"/>
        <item x="644"/>
        <item x="165"/>
        <item x="96"/>
        <item x="115"/>
        <item x="79"/>
        <item x="671"/>
        <item x="214"/>
        <item x="559"/>
        <item x="63"/>
        <item x="50"/>
        <item x="147"/>
        <item x="360"/>
        <item x="638"/>
        <item x="22"/>
        <item x="555"/>
        <item x="199"/>
        <item x="267"/>
        <item x="597"/>
        <item x="419"/>
        <item x="134"/>
        <item x="612"/>
        <item x="217"/>
        <item x="187"/>
        <item x="144"/>
        <item x="233"/>
        <item x="444"/>
        <item x="661"/>
        <item x="591"/>
        <item x="212"/>
        <item x="339"/>
        <item x="665"/>
        <item x="699"/>
        <item x="0"/>
        <item x="632"/>
        <item x="436"/>
        <item x="410"/>
        <item x="655"/>
        <item x="333"/>
        <item x="532"/>
        <item x="95"/>
        <item x="64"/>
        <item x="148"/>
        <item x="414"/>
        <item x="200"/>
        <item x="415"/>
        <item x="573"/>
        <item x="461"/>
        <item x="703"/>
        <item x="48"/>
        <item x="154"/>
        <item x="6"/>
        <item x="135"/>
        <item x="541"/>
        <item x="692"/>
        <item x="265"/>
        <item x="550"/>
        <item x="57"/>
        <item x="203"/>
        <item x="37"/>
        <item x="432"/>
        <item x="464"/>
        <item x="392"/>
        <item x="408"/>
        <item x="593"/>
        <item x="268"/>
        <item x="395"/>
        <item x="685"/>
        <item x="549"/>
        <item x="398"/>
        <item x="45"/>
        <item x="378"/>
        <item x="236"/>
        <item x="46"/>
        <item x="28"/>
        <item x="118"/>
        <item x="400"/>
        <item x="660"/>
        <item x="590"/>
        <item x="501"/>
        <item x="577"/>
        <item x="101"/>
        <item x="672"/>
        <item x="132"/>
        <item x="288"/>
        <item x="524"/>
        <item x="351"/>
        <item x="646"/>
        <item x="409"/>
        <item x="364"/>
        <item x="509"/>
        <item x="326"/>
        <item x="393"/>
        <item x="41"/>
        <item x="554"/>
        <item x="446"/>
        <item x="407"/>
        <item x="527"/>
        <item x="109"/>
        <item x="355"/>
        <item x="696"/>
        <item x="185"/>
        <item x="481"/>
        <item x="59"/>
        <item x="507"/>
        <item x="445"/>
        <item x="411"/>
        <item x="353"/>
        <item x="276"/>
        <item x="189"/>
        <item x="621"/>
        <item x="122"/>
        <item x="156"/>
        <item x="545"/>
        <item x="377"/>
        <item x="242"/>
        <item x="670"/>
        <item x="97"/>
        <item x="269"/>
        <item x="36"/>
        <item x="313"/>
        <item x="311"/>
        <item x="369"/>
        <item x="390"/>
        <item x="659"/>
        <item x="474"/>
        <item x="641"/>
        <item x="687"/>
        <item x="698"/>
        <item x="523"/>
        <item x="595"/>
        <item x="160"/>
        <item x="162"/>
        <item x="328"/>
        <item x="359"/>
        <item x="420"/>
        <item x="295"/>
        <item x="42"/>
        <item x="486"/>
        <item x="260"/>
        <item x="201"/>
        <item x="133"/>
        <item x="629"/>
        <item x="208"/>
        <item x="569"/>
        <item x="374"/>
        <item x="273"/>
        <item x="682"/>
        <item x="453"/>
        <item x="152"/>
        <item x="466"/>
        <item x="488"/>
        <item x="34"/>
        <item x="530"/>
        <item x="627"/>
        <item x="183"/>
        <item x="137"/>
        <item x="606"/>
        <item x="13"/>
        <item x="263"/>
        <item x="173"/>
        <item x="176"/>
        <item x="38"/>
        <item x="73"/>
        <item x="10"/>
        <item x="658"/>
        <item x="686"/>
        <item x="327"/>
        <item x="427"/>
        <item x="669"/>
        <item x="579"/>
        <item x="580"/>
        <item x="365"/>
        <item x="610"/>
        <item x="317"/>
        <item x="5"/>
        <item x="582"/>
        <item x="33"/>
        <item x="652"/>
        <item x="458"/>
        <item x="388"/>
        <item x="600"/>
        <item x="257"/>
        <item x="163"/>
        <item x="356"/>
        <item x="540"/>
        <item x="322"/>
        <item x="18"/>
        <item x="250"/>
        <item x="232"/>
        <item x="29"/>
        <item x="47"/>
        <item x="430"/>
        <item x="455"/>
        <item x="111"/>
        <item x="145"/>
        <item x="702"/>
        <item x="337"/>
        <item x="262"/>
        <item x="157"/>
        <item x="647"/>
        <item x="141"/>
        <item x="515"/>
        <item x="67"/>
        <item x="626"/>
        <item x="223"/>
        <item x="81"/>
        <item x="425"/>
        <item x="279"/>
        <item x="373"/>
        <item x="405"/>
        <item x="305"/>
        <item x="463"/>
        <item x="396"/>
        <item x="625"/>
        <item x="502"/>
        <item x="292"/>
        <item x="628"/>
        <item x="85"/>
        <item x="3"/>
        <item x="127"/>
        <item x="394"/>
        <item x="598"/>
        <item x="342"/>
        <item x="206"/>
        <item x="534"/>
        <item x="372"/>
        <item x="381"/>
        <item x="677"/>
        <item x="596"/>
        <item x="469"/>
        <item x="182"/>
        <item x="470"/>
        <item x="679"/>
        <item x="210"/>
        <item x="684"/>
        <item x="103"/>
        <item x="520"/>
        <item x="299"/>
        <item x="16"/>
        <item x="220"/>
        <item x="663"/>
        <item x="361"/>
        <item x="667"/>
        <item x="240"/>
        <item x="657"/>
        <item x="259"/>
        <item x="382"/>
        <item x="17"/>
        <item x="287"/>
        <item x="188"/>
        <item x="128"/>
        <item x="558"/>
        <item x="519"/>
        <item x="521"/>
        <item x="401"/>
        <item x="54"/>
        <item x="547"/>
        <item x="552"/>
        <item x="651"/>
        <item x="476"/>
        <item x="116"/>
        <item x="166"/>
        <item x="565"/>
        <item x="620"/>
        <item x="483"/>
        <item x="538"/>
        <item x="490"/>
        <item x="84"/>
        <item x="560"/>
        <item x="90"/>
        <item x="695"/>
        <item x="58"/>
        <item x="225"/>
        <item x="264"/>
        <item x="518"/>
        <item x="529"/>
        <item x="23"/>
        <item x="180"/>
        <item x="608"/>
        <item x="428"/>
        <item x="316"/>
        <item x="338"/>
        <item x="293"/>
        <item x="4"/>
        <item x="261"/>
        <item x="653"/>
        <item x="399"/>
        <item x="270"/>
        <item x="149"/>
        <item x="642"/>
        <item x="227"/>
        <item x="656"/>
        <item x="318"/>
        <item x="114"/>
        <item x="286"/>
        <item x="123"/>
        <item x="297"/>
        <item x="594"/>
        <item x="216"/>
        <item x="473"/>
        <item x="15"/>
        <item x="533"/>
        <item x="367"/>
        <item x="456"/>
        <item x="587"/>
        <item x="35"/>
        <item x="639"/>
        <item x="592"/>
        <item x="272"/>
        <item x="277"/>
        <item x="211"/>
        <item x="294"/>
        <item x="397"/>
        <item x="2"/>
        <item x="30"/>
        <item x="251"/>
        <item x="99"/>
        <item x="479"/>
        <item x="440"/>
        <item x="231"/>
        <item x="184"/>
        <item x="588"/>
        <item x="449"/>
        <item x="139"/>
        <item x="480"/>
        <item x="190"/>
        <item x="522"/>
        <item x="349"/>
        <item x="129"/>
        <item x="136"/>
        <item x="49"/>
        <item x="673"/>
        <item x="548"/>
        <item x="330"/>
        <item x="437"/>
        <item x="581"/>
        <item x="131"/>
        <item x="454"/>
        <item x="130"/>
        <item x="76"/>
        <item x="447"/>
        <item x="178"/>
        <item x="498"/>
        <item x="457"/>
        <item x="472"/>
        <item x="314"/>
        <item x="615"/>
        <item x="362"/>
        <item x="602"/>
        <item x="140"/>
        <item x="478"/>
        <item x="309"/>
        <item x="334"/>
        <item x="431"/>
        <item x="143"/>
        <item x="526"/>
        <item x="678"/>
        <item x="585"/>
        <item x="452"/>
        <item x="387"/>
        <item x="92"/>
        <item x="619"/>
        <item x="471"/>
        <item x="110"/>
        <item x="371"/>
        <item x="614"/>
        <item x="406"/>
        <item x="517"/>
        <item t="default"/>
      </items>
    </pivotField>
    <pivotField showAll="0">
      <items count="5">
        <item x="3"/>
        <item x="1"/>
        <item x="0"/>
        <item x="2"/>
        <item t="default"/>
      </items>
    </pivotField>
    <pivotField showAll="0"/>
    <pivotField showAll="0"/>
    <pivotField showAll="0"/>
    <pivotField axis="axisRow" showAll="0">
      <items count="6">
        <item x="1"/>
        <item x="0"/>
        <item x="3"/>
        <item x="4"/>
        <item x="2"/>
        <item t="default"/>
      </items>
    </pivotField>
    <pivotField showAll="0"/>
    <pivotField showAll="0"/>
    <pivotField showAll="0"/>
    <pivotField showAll="0"/>
    <pivotField showAll="0"/>
    <pivotField showAll="0"/>
    <pivotField showAll="0"/>
    <pivotField showAll="0">
      <items count="3">
        <item x="0"/>
        <item x="1"/>
        <item t="default"/>
      </items>
    </pivotField>
  </pivotFields>
  <rowFields count="1">
    <field x="14"/>
  </rowFields>
  <rowItems count="6">
    <i>
      <x/>
    </i>
    <i>
      <x v="1"/>
    </i>
    <i>
      <x v="2"/>
    </i>
    <i>
      <x v="3"/>
    </i>
    <i>
      <x v="4"/>
    </i>
    <i t="grand">
      <x/>
    </i>
  </rowItems>
  <colItems count="1">
    <i/>
  </colItems>
  <dataFields count="1">
    <dataField name="Count of Employee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59BE36-6477-4C65-934E-B14881F7731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ax Salary Hike by Department">
  <location ref="D29:E38" firstHeaderRow="1" firstDataRow="1" firstDataCol="1"/>
  <pivotFields count="23">
    <pivotField showAll="0"/>
    <pivotField showAll="0"/>
    <pivotField showAll="0"/>
    <pivotField showAll="0">
      <items count="4">
        <item x="1"/>
        <item x="2"/>
        <item x="0"/>
        <item t="default"/>
      </items>
    </pivotField>
    <pivotField showAll="0"/>
    <pivotField showAll="0"/>
    <pivotField axis="axisRow" showAll="0">
      <items count="9">
        <item x="4"/>
        <item x="2"/>
        <item x="0"/>
        <item x="6"/>
        <item x="7"/>
        <item x="5"/>
        <item x="3"/>
        <item x="1"/>
        <item t="default"/>
      </items>
    </pivotField>
    <pivotField showAll="0"/>
    <pivotField showAll="0">
      <items count="4">
        <item x="1"/>
        <item x="0"/>
        <item x="2"/>
        <item t="default"/>
      </items>
    </pivotField>
    <pivotField showAll="0">
      <items count="705">
        <item x="544"/>
        <item x="303"/>
        <item x="21"/>
        <item x="51"/>
        <item x="484"/>
        <item x="578"/>
        <item x="332"/>
        <item x="513"/>
        <item x="664"/>
        <item x="352"/>
        <item x="694"/>
        <item x="386"/>
        <item x="119"/>
        <item x="468"/>
        <item x="307"/>
        <item x="71"/>
        <item x="312"/>
        <item x="164"/>
        <item x="363"/>
        <item x="247"/>
        <item x="83"/>
        <item x="107"/>
        <item x="584"/>
        <item x="700"/>
        <item x="561"/>
        <item x="252"/>
        <item x="607"/>
        <item x="69"/>
        <item x="126"/>
        <item x="121"/>
        <item x="441"/>
        <item x="500"/>
        <item x="226"/>
        <item x="568"/>
        <item x="426"/>
        <item x="66"/>
        <item x="243"/>
        <item x="354"/>
        <item x="174"/>
        <item x="429"/>
        <item x="443"/>
        <item x="142"/>
        <item x="572"/>
        <item x="12"/>
        <item x="599"/>
        <item x="61"/>
        <item x="385"/>
        <item x="202"/>
        <item x="177"/>
        <item x="246"/>
        <item x="310"/>
        <item x="666"/>
        <item x="9"/>
        <item x="102"/>
        <item x="491"/>
        <item x="234"/>
        <item x="91"/>
        <item x="98"/>
        <item x="633"/>
        <item x="224"/>
        <item x="467"/>
        <item x="434"/>
        <item x="94"/>
        <item x="112"/>
        <item x="335"/>
        <item x="120"/>
        <item x="229"/>
        <item x="323"/>
        <item x="553"/>
        <item x="617"/>
        <item x="489"/>
        <item x="511"/>
        <item x="151"/>
        <item x="528"/>
        <item x="298"/>
        <item x="171"/>
        <item x="435"/>
        <item x="108"/>
        <item x="635"/>
        <item x="113"/>
        <item x="688"/>
        <item x="254"/>
        <item x="25"/>
        <item x="301"/>
        <item x="209"/>
        <item x="495"/>
        <item x="649"/>
        <item x="26"/>
        <item x="442"/>
        <item x="622"/>
        <item x="551"/>
        <item x="616"/>
        <item x="20"/>
        <item x="350"/>
        <item x="253"/>
        <item x="676"/>
        <item x="304"/>
        <item x="604"/>
        <item x="611"/>
        <item x="674"/>
        <item x="280"/>
        <item x="331"/>
        <item x="68"/>
        <item x="320"/>
        <item x="44"/>
        <item x="11"/>
        <item x="624"/>
        <item x="325"/>
        <item x="75"/>
        <item x="138"/>
        <item x="477"/>
        <item x="675"/>
        <item x="417"/>
        <item x="88"/>
        <item x="302"/>
        <item x="634"/>
        <item x="52"/>
        <item x="204"/>
        <item x="605"/>
        <item x="557"/>
        <item x="563"/>
        <item x="105"/>
        <item x="170"/>
        <item x="284"/>
        <item x="487"/>
        <item x="306"/>
        <item x="146"/>
        <item x="424"/>
        <item x="248"/>
        <item x="283"/>
        <item x="343"/>
        <item x="275"/>
        <item x="404"/>
        <item x="571"/>
        <item x="516"/>
        <item x="106"/>
        <item x="32"/>
        <item x="62"/>
        <item x="324"/>
        <item x="683"/>
        <item x="357"/>
        <item x="543"/>
        <item x="78"/>
        <item x="562"/>
        <item x="403"/>
        <item x="402"/>
        <item x="497"/>
        <item x="662"/>
        <item x="379"/>
        <item x="194"/>
        <item x="197"/>
        <item x="514"/>
        <item x="8"/>
        <item x="690"/>
        <item x="321"/>
        <item x="564"/>
        <item x="239"/>
        <item x="221"/>
        <item x="506"/>
        <item x="219"/>
        <item x="213"/>
        <item x="150"/>
        <item x="448"/>
        <item x="222"/>
        <item x="412"/>
        <item x="613"/>
        <item x="380"/>
        <item x="648"/>
        <item x="439"/>
        <item x="556"/>
        <item x="186"/>
        <item x="575"/>
        <item x="40"/>
        <item x="60"/>
        <item x="291"/>
        <item x="300"/>
        <item x="80"/>
        <item x="168"/>
        <item x="668"/>
        <item x="618"/>
        <item x="691"/>
        <item x="418"/>
        <item x="451"/>
        <item x="465"/>
        <item x="158"/>
        <item x="218"/>
        <item x="637"/>
        <item x="576"/>
        <item x="27"/>
        <item x="198"/>
        <item x="358"/>
        <item x="55"/>
        <item x="601"/>
        <item x="376"/>
        <item x="645"/>
        <item x="566"/>
        <item x="43"/>
        <item x="416"/>
        <item x="636"/>
        <item x="238"/>
        <item x="433"/>
        <item x="87"/>
        <item x="375"/>
        <item x="348"/>
        <item x="384"/>
        <item x="368"/>
        <item x="340"/>
        <item x="697"/>
        <item x="535"/>
        <item x="512"/>
        <item x="496"/>
        <item x="531"/>
        <item x="640"/>
        <item x="205"/>
        <item x="100"/>
        <item x="192"/>
        <item x="567"/>
        <item x="24"/>
        <item x="193"/>
        <item x="181"/>
        <item x="460"/>
        <item x="296"/>
        <item x="31"/>
        <item x="450"/>
        <item x="609"/>
        <item x="86"/>
        <item x="7"/>
        <item x="282"/>
        <item x="689"/>
        <item x="650"/>
        <item x="93"/>
        <item x="319"/>
        <item x="89"/>
        <item x="508"/>
        <item x="693"/>
        <item x="258"/>
        <item x="546"/>
        <item x="241"/>
        <item x="459"/>
        <item x="570"/>
        <item x="179"/>
        <item x="308"/>
        <item x="215"/>
        <item x="482"/>
        <item x="525"/>
        <item x="117"/>
        <item x="462"/>
        <item x="537"/>
        <item x="603"/>
        <item x="341"/>
        <item x="366"/>
        <item x="159"/>
        <item x="255"/>
        <item x="701"/>
        <item x="536"/>
        <item x="586"/>
        <item x="345"/>
        <item x="256"/>
        <item x="422"/>
        <item x="542"/>
        <item x="77"/>
        <item x="70"/>
        <item x="510"/>
        <item x="125"/>
        <item x="289"/>
        <item x="492"/>
        <item x="389"/>
        <item x="14"/>
        <item x="504"/>
        <item x="370"/>
        <item x="1"/>
        <item x="589"/>
        <item x="630"/>
        <item x="423"/>
        <item x="539"/>
        <item x="347"/>
        <item x="494"/>
        <item x="104"/>
        <item x="56"/>
        <item x="53"/>
        <item x="503"/>
        <item x="195"/>
        <item x="196"/>
        <item x="161"/>
        <item x="82"/>
        <item x="643"/>
        <item x="191"/>
        <item x="631"/>
        <item x="278"/>
        <item x="290"/>
        <item x="438"/>
        <item x="237"/>
        <item x="623"/>
        <item x="421"/>
        <item x="235"/>
        <item x="172"/>
        <item x="285"/>
        <item x="346"/>
        <item x="274"/>
        <item x="493"/>
        <item x="72"/>
        <item x="574"/>
        <item x="336"/>
        <item x="228"/>
        <item x="153"/>
        <item x="475"/>
        <item x="485"/>
        <item x="207"/>
        <item x="249"/>
        <item x="391"/>
        <item x="244"/>
        <item x="175"/>
        <item x="74"/>
        <item x="245"/>
        <item x="39"/>
        <item x="315"/>
        <item x="169"/>
        <item x="505"/>
        <item x="413"/>
        <item x="271"/>
        <item x="19"/>
        <item x="155"/>
        <item x="266"/>
        <item x="124"/>
        <item x="680"/>
        <item x="383"/>
        <item x="230"/>
        <item x="65"/>
        <item x="329"/>
        <item x="167"/>
        <item x="281"/>
        <item x="583"/>
        <item x="499"/>
        <item x="344"/>
        <item x="681"/>
        <item x="654"/>
        <item x="644"/>
        <item x="165"/>
        <item x="96"/>
        <item x="115"/>
        <item x="79"/>
        <item x="671"/>
        <item x="214"/>
        <item x="559"/>
        <item x="63"/>
        <item x="50"/>
        <item x="147"/>
        <item x="360"/>
        <item x="638"/>
        <item x="22"/>
        <item x="555"/>
        <item x="199"/>
        <item x="267"/>
        <item x="597"/>
        <item x="419"/>
        <item x="134"/>
        <item x="612"/>
        <item x="217"/>
        <item x="187"/>
        <item x="144"/>
        <item x="233"/>
        <item x="444"/>
        <item x="661"/>
        <item x="591"/>
        <item x="212"/>
        <item x="339"/>
        <item x="665"/>
        <item x="699"/>
        <item x="0"/>
        <item x="632"/>
        <item x="436"/>
        <item x="410"/>
        <item x="655"/>
        <item x="333"/>
        <item x="532"/>
        <item x="95"/>
        <item x="64"/>
        <item x="148"/>
        <item x="414"/>
        <item x="200"/>
        <item x="415"/>
        <item x="573"/>
        <item x="461"/>
        <item x="703"/>
        <item x="48"/>
        <item x="154"/>
        <item x="6"/>
        <item x="135"/>
        <item x="541"/>
        <item x="692"/>
        <item x="265"/>
        <item x="550"/>
        <item x="57"/>
        <item x="203"/>
        <item x="37"/>
        <item x="432"/>
        <item x="464"/>
        <item x="392"/>
        <item x="408"/>
        <item x="593"/>
        <item x="268"/>
        <item x="395"/>
        <item x="685"/>
        <item x="549"/>
        <item x="398"/>
        <item x="45"/>
        <item x="378"/>
        <item x="236"/>
        <item x="46"/>
        <item x="28"/>
        <item x="118"/>
        <item x="400"/>
        <item x="660"/>
        <item x="590"/>
        <item x="501"/>
        <item x="577"/>
        <item x="101"/>
        <item x="672"/>
        <item x="132"/>
        <item x="288"/>
        <item x="524"/>
        <item x="351"/>
        <item x="646"/>
        <item x="409"/>
        <item x="364"/>
        <item x="509"/>
        <item x="326"/>
        <item x="393"/>
        <item x="41"/>
        <item x="554"/>
        <item x="446"/>
        <item x="407"/>
        <item x="527"/>
        <item x="109"/>
        <item x="355"/>
        <item x="696"/>
        <item x="185"/>
        <item x="481"/>
        <item x="59"/>
        <item x="507"/>
        <item x="445"/>
        <item x="411"/>
        <item x="353"/>
        <item x="276"/>
        <item x="189"/>
        <item x="621"/>
        <item x="122"/>
        <item x="156"/>
        <item x="545"/>
        <item x="377"/>
        <item x="242"/>
        <item x="670"/>
        <item x="97"/>
        <item x="269"/>
        <item x="36"/>
        <item x="313"/>
        <item x="311"/>
        <item x="369"/>
        <item x="390"/>
        <item x="659"/>
        <item x="474"/>
        <item x="641"/>
        <item x="687"/>
        <item x="698"/>
        <item x="523"/>
        <item x="595"/>
        <item x="160"/>
        <item x="162"/>
        <item x="328"/>
        <item x="359"/>
        <item x="420"/>
        <item x="295"/>
        <item x="42"/>
        <item x="486"/>
        <item x="260"/>
        <item x="201"/>
        <item x="133"/>
        <item x="629"/>
        <item x="208"/>
        <item x="569"/>
        <item x="374"/>
        <item x="273"/>
        <item x="682"/>
        <item x="453"/>
        <item x="152"/>
        <item x="466"/>
        <item x="488"/>
        <item x="34"/>
        <item x="530"/>
        <item x="627"/>
        <item x="183"/>
        <item x="137"/>
        <item x="606"/>
        <item x="13"/>
        <item x="263"/>
        <item x="173"/>
        <item x="176"/>
        <item x="38"/>
        <item x="73"/>
        <item x="10"/>
        <item x="658"/>
        <item x="686"/>
        <item x="327"/>
        <item x="427"/>
        <item x="669"/>
        <item x="579"/>
        <item x="580"/>
        <item x="365"/>
        <item x="610"/>
        <item x="317"/>
        <item x="5"/>
        <item x="582"/>
        <item x="33"/>
        <item x="652"/>
        <item x="458"/>
        <item x="388"/>
        <item x="600"/>
        <item x="257"/>
        <item x="163"/>
        <item x="356"/>
        <item x="540"/>
        <item x="322"/>
        <item x="18"/>
        <item x="250"/>
        <item x="232"/>
        <item x="29"/>
        <item x="47"/>
        <item x="430"/>
        <item x="455"/>
        <item x="111"/>
        <item x="145"/>
        <item x="702"/>
        <item x="337"/>
        <item x="262"/>
        <item x="157"/>
        <item x="647"/>
        <item x="141"/>
        <item x="515"/>
        <item x="67"/>
        <item x="626"/>
        <item x="223"/>
        <item x="81"/>
        <item x="425"/>
        <item x="279"/>
        <item x="373"/>
        <item x="405"/>
        <item x="305"/>
        <item x="463"/>
        <item x="396"/>
        <item x="625"/>
        <item x="502"/>
        <item x="292"/>
        <item x="628"/>
        <item x="85"/>
        <item x="3"/>
        <item x="127"/>
        <item x="394"/>
        <item x="598"/>
        <item x="342"/>
        <item x="206"/>
        <item x="534"/>
        <item x="372"/>
        <item x="381"/>
        <item x="677"/>
        <item x="596"/>
        <item x="469"/>
        <item x="182"/>
        <item x="470"/>
        <item x="679"/>
        <item x="210"/>
        <item x="684"/>
        <item x="103"/>
        <item x="520"/>
        <item x="299"/>
        <item x="16"/>
        <item x="220"/>
        <item x="663"/>
        <item x="361"/>
        <item x="667"/>
        <item x="240"/>
        <item x="657"/>
        <item x="259"/>
        <item x="382"/>
        <item x="17"/>
        <item x="287"/>
        <item x="188"/>
        <item x="128"/>
        <item x="558"/>
        <item x="519"/>
        <item x="521"/>
        <item x="401"/>
        <item x="54"/>
        <item x="547"/>
        <item x="552"/>
        <item x="651"/>
        <item x="476"/>
        <item x="116"/>
        <item x="166"/>
        <item x="565"/>
        <item x="620"/>
        <item x="483"/>
        <item x="538"/>
        <item x="490"/>
        <item x="84"/>
        <item x="560"/>
        <item x="90"/>
        <item x="695"/>
        <item x="58"/>
        <item x="225"/>
        <item x="264"/>
        <item x="518"/>
        <item x="529"/>
        <item x="23"/>
        <item x="180"/>
        <item x="608"/>
        <item x="428"/>
        <item x="316"/>
        <item x="338"/>
        <item x="293"/>
        <item x="4"/>
        <item x="261"/>
        <item x="653"/>
        <item x="399"/>
        <item x="270"/>
        <item x="149"/>
        <item x="642"/>
        <item x="227"/>
        <item x="656"/>
        <item x="318"/>
        <item x="114"/>
        <item x="286"/>
        <item x="123"/>
        <item x="297"/>
        <item x="594"/>
        <item x="216"/>
        <item x="473"/>
        <item x="15"/>
        <item x="533"/>
        <item x="367"/>
        <item x="456"/>
        <item x="587"/>
        <item x="35"/>
        <item x="639"/>
        <item x="592"/>
        <item x="272"/>
        <item x="277"/>
        <item x="211"/>
        <item x="294"/>
        <item x="397"/>
        <item x="2"/>
        <item x="30"/>
        <item x="251"/>
        <item x="99"/>
        <item x="479"/>
        <item x="440"/>
        <item x="231"/>
        <item x="184"/>
        <item x="588"/>
        <item x="449"/>
        <item x="139"/>
        <item x="480"/>
        <item x="190"/>
        <item x="522"/>
        <item x="349"/>
        <item x="129"/>
        <item x="136"/>
        <item x="49"/>
        <item x="673"/>
        <item x="548"/>
        <item x="330"/>
        <item x="437"/>
        <item x="581"/>
        <item x="131"/>
        <item x="454"/>
        <item x="130"/>
        <item x="76"/>
        <item x="447"/>
        <item x="178"/>
        <item x="498"/>
        <item x="457"/>
        <item x="472"/>
        <item x="314"/>
        <item x="615"/>
        <item x="362"/>
        <item x="602"/>
        <item x="140"/>
        <item x="478"/>
        <item x="309"/>
        <item x="334"/>
        <item x="431"/>
        <item x="143"/>
        <item x="526"/>
        <item x="678"/>
        <item x="585"/>
        <item x="452"/>
        <item x="387"/>
        <item x="92"/>
        <item x="619"/>
        <item x="471"/>
        <item x="110"/>
        <item x="371"/>
        <item x="614"/>
        <item x="406"/>
        <item x="517"/>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s>
  <rowFields count="1">
    <field x="6"/>
  </rowFields>
  <rowItems count="9">
    <i>
      <x/>
    </i>
    <i>
      <x v="1"/>
    </i>
    <i>
      <x v="2"/>
    </i>
    <i>
      <x v="3"/>
    </i>
    <i>
      <x v="4"/>
    </i>
    <i>
      <x v="5"/>
    </i>
    <i>
      <x v="6"/>
    </i>
    <i>
      <x v="7"/>
    </i>
    <i t="grand">
      <x/>
    </i>
  </rowItems>
  <colItems count="1">
    <i/>
  </colItems>
  <dataFields count="1">
    <dataField name="Max of Salary_Hike_%" fld="21" subtotal="max" baseField="6" baseItem="0"/>
  </dataFields>
  <formats count="1">
    <format dxfId="72">
      <pivotArea collapsedLevelsAreSubtotals="1" fieldPosition="0">
        <references count="1">
          <reference field="6"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8A3376-29C4-4259-8C31-3970B2A22885}" name="Attrition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Employees by Gender">
  <location ref="A41:D47" firstHeaderRow="1" firstDataRow="2" firstDataCol="1"/>
  <pivotFields count="23">
    <pivotField dataField="1" showAll="0"/>
    <pivotField showAll="0"/>
    <pivotField showAll="0"/>
    <pivotField showAll="0">
      <items count="4">
        <item x="1"/>
        <item x="2"/>
        <item x="0"/>
        <item t="default"/>
      </items>
    </pivotField>
    <pivotField showAll="0"/>
    <pivotField showAll="0"/>
    <pivotField showAll="0">
      <items count="9">
        <item x="4"/>
        <item x="2"/>
        <item x="0"/>
        <item x="6"/>
        <item x="7"/>
        <item x="5"/>
        <item x="3"/>
        <item x="1"/>
        <item t="default"/>
      </items>
    </pivotField>
    <pivotField showAll="0"/>
    <pivotField showAll="0">
      <items count="4">
        <item x="1"/>
        <item x="0"/>
        <item x="2"/>
        <item t="default"/>
      </items>
    </pivotField>
    <pivotField showAll="0">
      <items count="705">
        <item x="544"/>
        <item x="303"/>
        <item x="21"/>
        <item x="51"/>
        <item x="484"/>
        <item x="578"/>
        <item x="332"/>
        <item x="513"/>
        <item x="664"/>
        <item x="352"/>
        <item x="694"/>
        <item x="386"/>
        <item x="119"/>
        <item x="468"/>
        <item x="307"/>
        <item x="71"/>
        <item x="312"/>
        <item x="164"/>
        <item x="363"/>
        <item x="247"/>
        <item x="83"/>
        <item x="107"/>
        <item x="584"/>
        <item x="700"/>
        <item x="561"/>
        <item x="252"/>
        <item x="607"/>
        <item x="69"/>
        <item x="126"/>
        <item x="121"/>
        <item x="441"/>
        <item x="500"/>
        <item x="226"/>
        <item x="568"/>
        <item x="426"/>
        <item x="66"/>
        <item x="243"/>
        <item x="354"/>
        <item x="174"/>
        <item x="429"/>
        <item x="443"/>
        <item x="142"/>
        <item x="572"/>
        <item x="12"/>
        <item x="599"/>
        <item x="61"/>
        <item x="385"/>
        <item x="202"/>
        <item x="177"/>
        <item x="246"/>
        <item x="310"/>
        <item x="666"/>
        <item x="9"/>
        <item x="102"/>
        <item x="491"/>
        <item x="234"/>
        <item x="91"/>
        <item x="98"/>
        <item x="633"/>
        <item x="224"/>
        <item x="467"/>
        <item x="434"/>
        <item x="94"/>
        <item x="112"/>
        <item x="335"/>
        <item x="120"/>
        <item x="229"/>
        <item x="323"/>
        <item x="553"/>
        <item x="617"/>
        <item x="489"/>
        <item x="511"/>
        <item x="151"/>
        <item x="528"/>
        <item x="298"/>
        <item x="171"/>
        <item x="435"/>
        <item x="108"/>
        <item x="635"/>
        <item x="113"/>
        <item x="688"/>
        <item x="254"/>
        <item x="25"/>
        <item x="301"/>
        <item x="209"/>
        <item x="495"/>
        <item x="649"/>
        <item x="26"/>
        <item x="442"/>
        <item x="622"/>
        <item x="551"/>
        <item x="616"/>
        <item x="20"/>
        <item x="350"/>
        <item x="253"/>
        <item x="676"/>
        <item x="304"/>
        <item x="604"/>
        <item x="611"/>
        <item x="674"/>
        <item x="280"/>
        <item x="331"/>
        <item x="68"/>
        <item x="320"/>
        <item x="44"/>
        <item x="11"/>
        <item x="624"/>
        <item x="325"/>
        <item x="75"/>
        <item x="138"/>
        <item x="477"/>
        <item x="675"/>
        <item x="417"/>
        <item x="88"/>
        <item x="302"/>
        <item x="634"/>
        <item x="52"/>
        <item x="204"/>
        <item x="605"/>
        <item x="557"/>
        <item x="563"/>
        <item x="105"/>
        <item x="170"/>
        <item x="284"/>
        <item x="487"/>
        <item x="306"/>
        <item x="146"/>
        <item x="424"/>
        <item x="248"/>
        <item x="283"/>
        <item x="343"/>
        <item x="275"/>
        <item x="404"/>
        <item x="571"/>
        <item x="516"/>
        <item x="106"/>
        <item x="32"/>
        <item x="62"/>
        <item x="324"/>
        <item x="683"/>
        <item x="357"/>
        <item x="543"/>
        <item x="78"/>
        <item x="562"/>
        <item x="403"/>
        <item x="402"/>
        <item x="497"/>
        <item x="662"/>
        <item x="379"/>
        <item x="194"/>
        <item x="197"/>
        <item x="514"/>
        <item x="8"/>
        <item x="690"/>
        <item x="321"/>
        <item x="564"/>
        <item x="239"/>
        <item x="221"/>
        <item x="506"/>
        <item x="219"/>
        <item x="213"/>
        <item x="150"/>
        <item x="448"/>
        <item x="222"/>
        <item x="412"/>
        <item x="613"/>
        <item x="380"/>
        <item x="648"/>
        <item x="439"/>
        <item x="556"/>
        <item x="186"/>
        <item x="575"/>
        <item x="40"/>
        <item x="60"/>
        <item x="291"/>
        <item x="300"/>
        <item x="80"/>
        <item x="168"/>
        <item x="668"/>
        <item x="618"/>
        <item x="691"/>
        <item x="418"/>
        <item x="451"/>
        <item x="465"/>
        <item x="158"/>
        <item x="218"/>
        <item x="637"/>
        <item x="576"/>
        <item x="27"/>
        <item x="198"/>
        <item x="358"/>
        <item x="55"/>
        <item x="601"/>
        <item x="376"/>
        <item x="645"/>
        <item x="566"/>
        <item x="43"/>
        <item x="416"/>
        <item x="636"/>
        <item x="238"/>
        <item x="433"/>
        <item x="87"/>
        <item x="375"/>
        <item x="348"/>
        <item x="384"/>
        <item x="368"/>
        <item x="340"/>
        <item x="697"/>
        <item x="535"/>
        <item x="512"/>
        <item x="496"/>
        <item x="531"/>
        <item x="640"/>
        <item x="205"/>
        <item x="100"/>
        <item x="192"/>
        <item x="567"/>
        <item x="24"/>
        <item x="193"/>
        <item x="181"/>
        <item x="460"/>
        <item x="296"/>
        <item x="31"/>
        <item x="450"/>
        <item x="609"/>
        <item x="86"/>
        <item x="7"/>
        <item x="282"/>
        <item x="689"/>
        <item x="650"/>
        <item x="93"/>
        <item x="319"/>
        <item x="89"/>
        <item x="508"/>
        <item x="693"/>
        <item x="258"/>
        <item x="546"/>
        <item x="241"/>
        <item x="459"/>
        <item x="570"/>
        <item x="179"/>
        <item x="308"/>
        <item x="215"/>
        <item x="482"/>
        <item x="525"/>
        <item x="117"/>
        <item x="462"/>
        <item x="537"/>
        <item x="603"/>
        <item x="341"/>
        <item x="366"/>
        <item x="159"/>
        <item x="255"/>
        <item x="701"/>
        <item x="536"/>
        <item x="586"/>
        <item x="345"/>
        <item x="256"/>
        <item x="422"/>
        <item x="542"/>
        <item x="77"/>
        <item x="70"/>
        <item x="510"/>
        <item x="125"/>
        <item x="289"/>
        <item x="492"/>
        <item x="389"/>
        <item x="14"/>
        <item x="504"/>
        <item x="370"/>
        <item x="1"/>
        <item x="589"/>
        <item x="630"/>
        <item x="423"/>
        <item x="539"/>
        <item x="347"/>
        <item x="494"/>
        <item x="104"/>
        <item x="56"/>
        <item x="53"/>
        <item x="503"/>
        <item x="195"/>
        <item x="196"/>
        <item x="161"/>
        <item x="82"/>
        <item x="643"/>
        <item x="191"/>
        <item x="631"/>
        <item x="278"/>
        <item x="290"/>
        <item x="438"/>
        <item x="237"/>
        <item x="623"/>
        <item x="421"/>
        <item x="235"/>
        <item x="172"/>
        <item x="285"/>
        <item x="346"/>
        <item x="274"/>
        <item x="493"/>
        <item x="72"/>
        <item x="574"/>
        <item x="336"/>
        <item x="228"/>
        <item x="153"/>
        <item x="475"/>
        <item x="485"/>
        <item x="207"/>
        <item x="249"/>
        <item x="391"/>
        <item x="244"/>
        <item x="175"/>
        <item x="74"/>
        <item x="245"/>
        <item x="39"/>
        <item x="315"/>
        <item x="169"/>
        <item x="505"/>
        <item x="413"/>
        <item x="271"/>
        <item x="19"/>
        <item x="155"/>
        <item x="266"/>
        <item x="124"/>
        <item x="680"/>
        <item x="383"/>
        <item x="230"/>
        <item x="65"/>
        <item x="329"/>
        <item x="167"/>
        <item x="281"/>
        <item x="583"/>
        <item x="499"/>
        <item x="344"/>
        <item x="681"/>
        <item x="654"/>
        <item x="644"/>
        <item x="165"/>
        <item x="96"/>
        <item x="115"/>
        <item x="79"/>
        <item x="671"/>
        <item x="214"/>
        <item x="559"/>
        <item x="63"/>
        <item x="50"/>
        <item x="147"/>
        <item x="360"/>
        <item x="638"/>
        <item x="22"/>
        <item x="555"/>
        <item x="199"/>
        <item x="267"/>
        <item x="597"/>
        <item x="419"/>
        <item x="134"/>
        <item x="612"/>
        <item x="217"/>
        <item x="187"/>
        <item x="144"/>
        <item x="233"/>
        <item x="444"/>
        <item x="661"/>
        <item x="591"/>
        <item x="212"/>
        <item x="339"/>
        <item x="665"/>
        <item x="699"/>
        <item x="0"/>
        <item x="632"/>
        <item x="436"/>
        <item x="410"/>
        <item x="655"/>
        <item x="333"/>
        <item x="532"/>
        <item x="95"/>
        <item x="64"/>
        <item x="148"/>
        <item x="414"/>
        <item x="200"/>
        <item x="415"/>
        <item x="573"/>
        <item x="461"/>
        <item x="703"/>
        <item x="48"/>
        <item x="154"/>
        <item x="6"/>
        <item x="135"/>
        <item x="541"/>
        <item x="692"/>
        <item x="265"/>
        <item x="550"/>
        <item x="57"/>
        <item x="203"/>
        <item x="37"/>
        <item x="432"/>
        <item x="464"/>
        <item x="392"/>
        <item x="408"/>
        <item x="593"/>
        <item x="268"/>
        <item x="395"/>
        <item x="685"/>
        <item x="549"/>
        <item x="398"/>
        <item x="45"/>
        <item x="378"/>
        <item x="236"/>
        <item x="46"/>
        <item x="28"/>
        <item x="118"/>
        <item x="400"/>
        <item x="660"/>
        <item x="590"/>
        <item x="501"/>
        <item x="577"/>
        <item x="101"/>
        <item x="672"/>
        <item x="132"/>
        <item x="288"/>
        <item x="524"/>
        <item x="351"/>
        <item x="646"/>
        <item x="409"/>
        <item x="364"/>
        <item x="509"/>
        <item x="326"/>
        <item x="393"/>
        <item x="41"/>
        <item x="554"/>
        <item x="446"/>
        <item x="407"/>
        <item x="527"/>
        <item x="109"/>
        <item x="355"/>
        <item x="696"/>
        <item x="185"/>
        <item x="481"/>
        <item x="59"/>
        <item x="507"/>
        <item x="445"/>
        <item x="411"/>
        <item x="353"/>
        <item x="276"/>
        <item x="189"/>
        <item x="621"/>
        <item x="122"/>
        <item x="156"/>
        <item x="545"/>
        <item x="377"/>
        <item x="242"/>
        <item x="670"/>
        <item x="97"/>
        <item x="269"/>
        <item x="36"/>
        <item x="313"/>
        <item x="311"/>
        <item x="369"/>
        <item x="390"/>
        <item x="659"/>
        <item x="474"/>
        <item x="641"/>
        <item x="687"/>
        <item x="698"/>
        <item x="523"/>
        <item x="595"/>
        <item x="160"/>
        <item x="162"/>
        <item x="328"/>
        <item x="359"/>
        <item x="420"/>
        <item x="295"/>
        <item x="42"/>
        <item x="486"/>
        <item x="260"/>
        <item x="201"/>
        <item x="133"/>
        <item x="629"/>
        <item x="208"/>
        <item x="569"/>
        <item x="374"/>
        <item x="273"/>
        <item x="682"/>
        <item x="453"/>
        <item x="152"/>
        <item x="466"/>
        <item x="488"/>
        <item x="34"/>
        <item x="530"/>
        <item x="627"/>
        <item x="183"/>
        <item x="137"/>
        <item x="606"/>
        <item x="13"/>
        <item x="263"/>
        <item x="173"/>
        <item x="176"/>
        <item x="38"/>
        <item x="73"/>
        <item x="10"/>
        <item x="658"/>
        <item x="686"/>
        <item x="327"/>
        <item x="427"/>
        <item x="669"/>
        <item x="579"/>
        <item x="580"/>
        <item x="365"/>
        <item x="610"/>
        <item x="317"/>
        <item x="5"/>
        <item x="582"/>
        <item x="33"/>
        <item x="652"/>
        <item x="458"/>
        <item x="388"/>
        <item x="600"/>
        <item x="257"/>
        <item x="163"/>
        <item x="356"/>
        <item x="540"/>
        <item x="322"/>
        <item x="18"/>
        <item x="250"/>
        <item x="232"/>
        <item x="29"/>
        <item x="47"/>
        <item x="430"/>
        <item x="455"/>
        <item x="111"/>
        <item x="145"/>
        <item x="702"/>
        <item x="337"/>
        <item x="262"/>
        <item x="157"/>
        <item x="647"/>
        <item x="141"/>
        <item x="515"/>
        <item x="67"/>
        <item x="626"/>
        <item x="223"/>
        <item x="81"/>
        <item x="425"/>
        <item x="279"/>
        <item x="373"/>
        <item x="405"/>
        <item x="305"/>
        <item x="463"/>
        <item x="396"/>
        <item x="625"/>
        <item x="502"/>
        <item x="292"/>
        <item x="628"/>
        <item x="85"/>
        <item x="3"/>
        <item x="127"/>
        <item x="394"/>
        <item x="598"/>
        <item x="342"/>
        <item x="206"/>
        <item x="534"/>
        <item x="372"/>
        <item x="381"/>
        <item x="677"/>
        <item x="596"/>
        <item x="469"/>
        <item x="182"/>
        <item x="470"/>
        <item x="679"/>
        <item x="210"/>
        <item x="684"/>
        <item x="103"/>
        <item x="520"/>
        <item x="299"/>
        <item x="16"/>
        <item x="220"/>
        <item x="663"/>
        <item x="361"/>
        <item x="667"/>
        <item x="240"/>
        <item x="657"/>
        <item x="259"/>
        <item x="382"/>
        <item x="17"/>
        <item x="287"/>
        <item x="188"/>
        <item x="128"/>
        <item x="558"/>
        <item x="519"/>
        <item x="521"/>
        <item x="401"/>
        <item x="54"/>
        <item x="547"/>
        <item x="552"/>
        <item x="651"/>
        <item x="476"/>
        <item x="116"/>
        <item x="166"/>
        <item x="565"/>
        <item x="620"/>
        <item x="483"/>
        <item x="538"/>
        <item x="490"/>
        <item x="84"/>
        <item x="560"/>
        <item x="90"/>
        <item x="695"/>
        <item x="58"/>
        <item x="225"/>
        <item x="264"/>
        <item x="518"/>
        <item x="529"/>
        <item x="23"/>
        <item x="180"/>
        <item x="608"/>
        <item x="428"/>
        <item x="316"/>
        <item x="338"/>
        <item x="293"/>
        <item x="4"/>
        <item x="261"/>
        <item x="653"/>
        <item x="399"/>
        <item x="270"/>
        <item x="149"/>
        <item x="642"/>
        <item x="227"/>
        <item x="656"/>
        <item x="318"/>
        <item x="114"/>
        <item x="286"/>
        <item x="123"/>
        <item x="297"/>
        <item x="594"/>
        <item x="216"/>
        <item x="473"/>
        <item x="15"/>
        <item x="533"/>
        <item x="367"/>
        <item x="456"/>
        <item x="587"/>
        <item x="35"/>
        <item x="639"/>
        <item x="592"/>
        <item x="272"/>
        <item x="277"/>
        <item x="211"/>
        <item x="294"/>
        <item x="397"/>
        <item x="2"/>
        <item x="30"/>
        <item x="251"/>
        <item x="99"/>
        <item x="479"/>
        <item x="440"/>
        <item x="231"/>
        <item x="184"/>
        <item x="588"/>
        <item x="449"/>
        <item x="139"/>
        <item x="480"/>
        <item x="190"/>
        <item x="522"/>
        <item x="349"/>
        <item x="129"/>
        <item x="136"/>
        <item x="49"/>
        <item x="673"/>
        <item x="548"/>
        <item x="330"/>
        <item x="437"/>
        <item x="581"/>
        <item x="131"/>
        <item x="454"/>
        <item x="130"/>
        <item x="76"/>
        <item x="447"/>
        <item x="178"/>
        <item x="498"/>
        <item x="457"/>
        <item x="472"/>
        <item x="314"/>
        <item x="615"/>
        <item x="362"/>
        <item x="602"/>
        <item x="140"/>
        <item x="478"/>
        <item x="309"/>
        <item x="334"/>
        <item x="431"/>
        <item x="143"/>
        <item x="526"/>
        <item x="678"/>
        <item x="585"/>
        <item x="452"/>
        <item x="387"/>
        <item x="92"/>
        <item x="619"/>
        <item x="471"/>
        <item x="110"/>
        <item x="371"/>
        <item x="614"/>
        <item x="406"/>
        <item x="517"/>
        <item t="default"/>
      </items>
    </pivotField>
    <pivotField axis="axisRow"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10"/>
  </rowFields>
  <rowItems count="5">
    <i>
      <x/>
    </i>
    <i>
      <x v="1"/>
    </i>
    <i>
      <x v="2"/>
    </i>
    <i>
      <x v="3"/>
    </i>
    <i t="grand">
      <x/>
    </i>
  </rowItems>
  <colFields count="1">
    <field x="22"/>
  </colFields>
  <colItems count="3">
    <i>
      <x/>
    </i>
    <i>
      <x v="1"/>
    </i>
    <i t="grand">
      <x/>
    </i>
  </colItems>
  <dataFields count="1">
    <dataField name="Attrition by Year" fld="0" subtotal="count" baseField="0" baseItem="0"/>
  </dataFields>
  <chartFormats count="10">
    <chartFormat chart="3" format="6" series="1">
      <pivotArea type="data" outline="0" fieldPosition="0">
        <references count="2">
          <reference field="4294967294" count="1" selected="0">
            <x v="0"/>
          </reference>
          <reference field="22" count="1" selected="0">
            <x v="1"/>
          </reference>
        </references>
      </pivotArea>
    </chartFormat>
    <chartFormat chart="3" format="7">
      <pivotArea type="data" outline="0" fieldPosition="0">
        <references count="3">
          <reference field="4294967294" count="1" selected="0">
            <x v="0"/>
          </reference>
          <reference field="10" count="1" selected="0">
            <x v="0"/>
          </reference>
          <reference field="22" count="1" selected="0">
            <x v="1"/>
          </reference>
        </references>
      </pivotArea>
    </chartFormat>
    <chartFormat chart="3" format="8">
      <pivotArea type="data" outline="0" fieldPosition="0">
        <references count="3">
          <reference field="4294967294" count="1" selected="0">
            <x v="0"/>
          </reference>
          <reference field="10" count="1" selected="0">
            <x v="1"/>
          </reference>
          <reference field="22" count="1" selected="0">
            <x v="1"/>
          </reference>
        </references>
      </pivotArea>
    </chartFormat>
    <chartFormat chart="3" format="9">
      <pivotArea type="data" outline="0" fieldPosition="0">
        <references count="3">
          <reference field="4294967294" count="1" selected="0">
            <x v="0"/>
          </reference>
          <reference field="10" count="1" selected="0">
            <x v="2"/>
          </reference>
          <reference field="22" count="1" selected="0">
            <x v="1"/>
          </reference>
        </references>
      </pivotArea>
    </chartFormat>
    <chartFormat chart="3" format="10">
      <pivotArea type="data" outline="0" fieldPosition="0">
        <references count="3">
          <reference field="4294967294" count="1" selected="0">
            <x v="0"/>
          </reference>
          <reference field="10" count="1" selected="0">
            <x v="3"/>
          </reference>
          <reference field="22" count="1" selected="0">
            <x v="1"/>
          </reference>
        </references>
      </pivotArea>
    </chartFormat>
    <chartFormat chart="3" format="11" series="1">
      <pivotArea type="data" outline="0" fieldPosition="0">
        <references count="2">
          <reference field="4294967294" count="1" selected="0">
            <x v="0"/>
          </reference>
          <reference field="22" count="1" selected="0">
            <x v="0"/>
          </reference>
        </references>
      </pivotArea>
    </chartFormat>
    <chartFormat chart="3" format="12">
      <pivotArea type="data" outline="0" fieldPosition="0">
        <references count="3">
          <reference field="4294967294" count="1" selected="0">
            <x v="0"/>
          </reference>
          <reference field="10" count="1" selected="0">
            <x v="0"/>
          </reference>
          <reference field="22" count="1" selected="0">
            <x v="0"/>
          </reference>
        </references>
      </pivotArea>
    </chartFormat>
    <chartFormat chart="3" format="13">
      <pivotArea type="data" outline="0" fieldPosition="0">
        <references count="3">
          <reference field="4294967294" count="1" selected="0">
            <x v="0"/>
          </reference>
          <reference field="10" count="1" selected="0">
            <x v="1"/>
          </reference>
          <reference field="22" count="1" selected="0">
            <x v="0"/>
          </reference>
        </references>
      </pivotArea>
    </chartFormat>
    <chartFormat chart="3" format="14">
      <pivotArea type="data" outline="0" fieldPosition="0">
        <references count="3">
          <reference field="4294967294" count="1" selected="0">
            <x v="0"/>
          </reference>
          <reference field="10" count="1" selected="0">
            <x v="2"/>
          </reference>
          <reference field="22" count="1" selected="0">
            <x v="0"/>
          </reference>
        </references>
      </pivotArea>
    </chartFormat>
    <chartFormat chart="3" format="15">
      <pivotArea type="data" outline="0" fieldPosition="0">
        <references count="3">
          <reference field="4294967294" count="1" selected="0">
            <x v="0"/>
          </reference>
          <reference field="10" count="1" selected="0">
            <x v="3"/>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ECAEAC-29B5-4EC3-8317-9F9FE0272E3C}" name="Work-Life Balance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Work-Life Balance Distribution">
  <location ref="G17:H23" firstHeaderRow="1" firstDataRow="1" firstDataCol="1"/>
  <pivotFields count="23">
    <pivotField dataField="1" showAll="0"/>
    <pivotField showAll="0"/>
    <pivotField showAll="0"/>
    <pivotField showAll="0">
      <items count="4">
        <item x="1"/>
        <item x="2"/>
        <item x="0"/>
        <item t="default"/>
      </items>
    </pivotField>
    <pivotField showAll="0"/>
    <pivotField showAll="0"/>
    <pivotField showAll="0">
      <items count="9">
        <item x="4"/>
        <item x="2"/>
        <item x="0"/>
        <item x="6"/>
        <item x="7"/>
        <item x="5"/>
        <item x="3"/>
        <item x="1"/>
        <item t="default"/>
      </items>
    </pivotField>
    <pivotField showAll="0"/>
    <pivotField showAll="0">
      <items count="4">
        <item x="1"/>
        <item x="0"/>
        <item x="2"/>
        <item t="default"/>
      </items>
    </pivotField>
    <pivotField showAll="0">
      <items count="705">
        <item x="544"/>
        <item x="303"/>
        <item x="21"/>
        <item x="51"/>
        <item x="484"/>
        <item x="578"/>
        <item x="332"/>
        <item x="513"/>
        <item x="664"/>
        <item x="352"/>
        <item x="694"/>
        <item x="386"/>
        <item x="119"/>
        <item x="468"/>
        <item x="307"/>
        <item x="71"/>
        <item x="312"/>
        <item x="164"/>
        <item x="363"/>
        <item x="247"/>
        <item x="83"/>
        <item x="107"/>
        <item x="584"/>
        <item x="700"/>
        <item x="561"/>
        <item x="252"/>
        <item x="607"/>
        <item x="69"/>
        <item x="126"/>
        <item x="121"/>
        <item x="441"/>
        <item x="500"/>
        <item x="226"/>
        <item x="568"/>
        <item x="426"/>
        <item x="66"/>
        <item x="243"/>
        <item x="354"/>
        <item x="174"/>
        <item x="429"/>
        <item x="443"/>
        <item x="142"/>
        <item x="572"/>
        <item x="12"/>
        <item x="599"/>
        <item x="61"/>
        <item x="385"/>
        <item x="202"/>
        <item x="177"/>
        <item x="246"/>
        <item x="310"/>
        <item x="666"/>
        <item x="9"/>
        <item x="102"/>
        <item x="491"/>
        <item x="234"/>
        <item x="91"/>
        <item x="98"/>
        <item x="633"/>
        <item x="224"/>
        <item x="467"/>
        <item x="434"/>
        <item x="94"/>
        <item x="112"/>
        <item x="335"/>
        <item x="120"/>
        <item x="229"/>
        <item x="323"/>
        <item x="553"/>
        <item x="617"/>
        <item x="489"/>
        <item x="511"/>
        <item x="151"/>
        <item x="528"/>
        <item x="298"/>
        <item x="171"/>
        <item x="435"/>
        <item x="108"/>
        <item x="635"/>
        <item x="113"/>
        <item x="688"/>
        <item x="254"/>
        <item x="25"/>
        <item x="301"/>
        <item x="209"/>
        <item x="495"/>
        <item x="649"/>
        <item x="26"/>
        <item x="442"/>
        <item x="622"/>
        <item x="551"/>
        <item x="616"/>
        <item x="20"/>
        <item x="350"/>
        <item x="253"/>
        <item x="676"/>
        <item x="304"/>
        <item x="604"/>
        <item x="611"/>
        <item x="674"/>
        <item x="280"/>
        <item x="331"/>
        <item x="68"/>
        <item x="320"/>
        <item x="44"/>
        <item x="11"/>
        <item x="624"/>
        <item x="325"/>
        <item x="75"/>
        <item x="138"/>
        <item x="477"/>
        <item x="675"/>
        <item x="417"/>
        <item x="88"/>
        <item x="302"/>
        <item x="634"/>
        <item x="52"/>
        <item x="204"/>
        <item x="605"/>
        <item x="557"/>
        <item x="563"/>
        <item x="105"/>
        <item x="170"/>
        <item x="284"/>
        <item x="487"/>
        <item x="306"/>
        <item x="146"/>
        <item x="424"/>
        <item x="248"/>
        <item x="283"/>
        <item x="343"/>
        <item x="275"/>
        <item x="404"/>
        <item x="571"/>
        <item x="516"/>
        <item x="106"/>
        <item x="32"/>
        <item x="62"/>
        <item x="324"/>
        <item x="683"/>
        <item x="357"/>
        <item x="543"/>
        <item x="78"/>
        <item x="562"/>
        <item x="403"/>
        <item x="402"/>
        <item x="497"/>
        <item x="662"/>
        <item x="379"/>
        <item x="194"/>
        <item x="197"/>
        <item x="514"/>
        <item x="8"/>
        <item x="690"/>
        <item x="321"/>
        <item x="564"/>
        <item x="239"/>
        <item x="221"/>
        <item x="506"/>
        <item x="219"/>
        <item x="213"/>
        <item x="150"/>
        <item x="448"/>
        <item x="222"/>
        <item x="412"/>
        <item x="613"/>
        <item x="380"/>
        <item x="648"/>
        <item x="439"/>
        <item x="556"/>
        <item x="186"/>
        <item x="575"/>
        <item x="40"/>
        <item x="60"/>
        <item x="291"/>
        <item x="300"/>
        <item x="80"/>
        <item x="168"/>
        <item x="668"/>
        <item x="618"/>
        <item x="691"/>
        <item x="418"/>
        <item x="451"/>
        <item x="465"/>
        <item x="158"/>
        <item x="218"/>
        <item x="637"/>
        <item x="576"/>
        <item x="27"/>
        <item x="198"/>
        <item x="358"/>
        <item x="55"/>
        <item x="601"/>
        <item x="376"/>
        <item x="645"/>
        <item x="566"/>
        <item x="43"/>
        <item x="416"/>
        <item x="636"/>
        <item x="238"/>
        <item x="433"/>
        <item x="87"/>
        <item x="375"/>
        <item x="348"/>
        <item x="384"/>
        <item x="368"/>
        <item x="340"/>
        <item x="697"/>
        <item x="535"/>
        <item x="512"/>
        <item x="496"/>
        <item x="531"/>
        <item x="640"/>
        <item x="205"/>
        <item x="100"/>
        <item x="192"/>
        <item x="567"/>
        <item x="24"/>
        <item x="193"/>
        <item x="181"/>
        <item x="460"/>
        <item x="296"/>
        <item x="31"/>
        <item x="450"/>
        <item x="609"/>
        <item x="86"/>
        <item x="7"/>
        <item x="282"/>
        <item x="689"/>
        <item x="650"/>
        <item x="93"/>
        <item x="319"/>
        <item x="89"/>
        <item x="508"/>
        <item x="693"/>
        <item x="258"/>
        <item x="546"/>
        <item x="241"/>
        <item x="459"/>
        <item x="570"/>
        <item x="179"/>
        <item x="308"/>
        <item x="215"/>
        <item x="482"/>
        <item x="525"/>
        <item x="117"/>
        <item x="462"/>
        <item x="537"/>
        <item x="603"/>
        <item x="341"/>
        <item x="366"/>
        <item x="159"/>
        <item x="255"/>
        <item x="701"/>
        <item x="536"/>
        <item x="586"/>
        <item x="345"/>
        <item x="256"/>
        <item x="422"/>
        <item x="542"/>
        <item x="77"/>
        <item x="70"/>
        <item x="510"/>
        <item x="125"/>
        <item x="289"/>
        <item x="492"/>
        <item x="389"/>
        <item x="14"/>
        <item x="504"/>
        <item x="370"/>
        <item x="1"/>
        <item x="589"/>
        <item x="630"/>
        <item x="423"/>
        <item x="539"/>
        <item x="347"/>
        <item x="494"/>
        <item x="104"/>
        <item x="56"/>
        <item x="53"/>
        <item x="503"/>
        <item x="195"/>
        <item x="196"/>
        <item x="161"/>
        <item x="82"/>
        <item x="643"/>
        <item x="191"/>
        <item x="631"/>
        <item x="278"/>
        <item x="290"/>
        <item x="438"/>
        <item x="237"/>
        <item x="623"/>
        <item x="421"/>
        <item x="235"/>
        <item x="172"/>
        <item x="285"/>
        <item x="346"/>
        <item x="274"/>
        <item x="493"/>
        <item x="72"/>
        <item x="574"/>
        <item x="336"/>
        <item x="228"/>
        <item x="153"/>
        <item x="475"/>
        <item x="485"/>
        <item x="207"/>
        <item x="249"/>
        <item x="391"/>
        <item x="244"/>
        <item x="175"/>
        <item x="74"/>
        <item x="245"/>
        <item x="39"/>
        <item x="315"/>
        <item x="169"/>
        <item x="505"/>
        <item x="413"/>
        <item x="271"/>
        <item x="19"/>
        <item x="155"/>
        <item x="266"/>
        <item x="124"/>
        <item x="680"/>
        <item x="383"/>
        <item x="230"/>
        <item x="65"/>
        <item x="329"/>
        <item x="167"/>
        <item x="281"/>
        <item x="583"/>
        <item x="499"/>
        <item x="344"/>
        <item x="681"/>
        <item x="654"/>
        <item x="644"/>
        <item x="165"/>
        <item x="96"/>
        <item x="115"/>
        <item x="79"/>
        <item x="671"/>
        <item x="214"/>
        <item x="559"/>
        <item x="63"/>
        <item x="50"/>
        <item x="147"/>
        <item x="360"/>
        <item x="638"/>
        <item x="22"/>
        <item x="555"/>
        <item x="199"/>
        <item x="267"/>
        <item x="597"/>
        <item x="419"/>
        <item x="134"/>
        <item x="612"/>
        <item x="217"/>
        <item x="187"/>
        <item x="144"/>
        <item x="233"/>
        <item x="444"/>
        <item x="661"/>
        <item x="591"/>
        <item x="212"/>
        <item x="339"/>
        <item x="665"/>
        <item x="699"/>
        <item x="0"/>
        <item x="632"/>
        <item x="436"/>
        <item x="410"/>
        <item x="655"/>
        <item x="333"/>
        <item x="532"/>
        <item x="95"/>
        <item x="64"/>
        <item x="148"/>
        <item x="414"/>
        <item x="200"/>
        <item x="415"/>
        <item x="573"/>
        <item x="461"/>
        <item x="703"/>
        <item x="48"/>
        <item x="154"/>
        <item x="6"/>
        <item x="135"/>
        <item x="541"/>
        <item x="692"/>
        <item x="265"/>
        <item x="550"/>
        <item x="57"/>
        <item x="203"/>
        <item x="37"/>
        <item x="432"/>
        <item x="464"/>
        <item x="392"/>
        <item x="408"/>
        <item x="593"/>
        <item x="268"/>
        <item x="395"/>
        <item x="685"/>
        <item x="549"/>
        <item x="398"/>
        <item x="45"/>
        <item x="378"/>
        <item x="236"/>
        <item x="46"/>
        <item x="28"/>
        <item x="118"/>
        <item x="400"/>
        <item x="660"/>
        <item x="590"/>
        <item x="501"/>
        <item x="577"/>
        <item x="101"/>
        <item x="672"/>
        <item x="132"/>
        <item x="288"/>
        <item x="524"/>
        <item x="351"/>
        <item x="646"/>
        <item x="409"/>
        <item x="364"/>
        <item x="509"/>
        <item x="326"/>
        <item x="393"/>
        <item x="41"/>
        <item x="554"/>
        <item x="446"/>
        <item x="407"/>
        <item x="527"/>
        <item x="109"/>
        <item x="355"/>
        <item x="696"/>
        <item x="185"/>
        <item x="481"/>
        <item x="59"/>
        <item x="507"/>
        <item x="445"/>
        <item x="411"/>
        <item x="353"/>
        <item x="276"/>
        <item x="189"/>
        <item x="621"/>
        <item x="122"/>
        <item x="156"/>
        <item x="545"/>
        <item x="377"/>
        <item x="242"/>
        <item x="670"/>
        <item x="97"/>
        <item x="269"/>
        <item x="36"/>
        <item x="313"/>
        <item x="311"/>
        <item x="369"/>
        <item x="390"/>
        <item x="659"/>
        <item x="474"/>
        <item x="641"/>
        <item x="687"/>
        <item x="698"/>
        <item x="523"/>
        <item x="595"/>
        <item x="160"/>
        <item x="162"/>
        <item x="328"/>
        <item x="359"/>
        <item x="420"/>
        <item x="295"/>
        <item x="42"/>
        <item x="486"/>
        <item x="260"/>
        <item x="201"/>
        <item x="133"/>
        <item x="629"/>
        <item x="208"/>
        <item x="569"/>
        <item x="374"/>
        <item x="273"/>
        <item x="682"/>
        <item x="453"/>
        <item x="152"/>
        <item x="466"/>
        <item x="488"/>
        <item x="34"/>
        <item x="530"/>
        <item x="627"/>
        <item x="183"/>
        <item x="137"/>
        <item x="606"/>
        <item x="13"/>
        <item x="263"/>
        <item x="173"/>
        <item x="176"/>
        <item x="38"/>
        <item x="73"/>
        <item x="10"/>
        <item x="658"/>
        <item x="686"/>
        <item x="327"/>
        <item x="427"/>
        <item x="669"/>
        <item x="579"/>
        <item x="580"/>
        <item x="365"/>
        <item x="610"/>
        <item x="317"/>
        <item x="5"/>
        <item x="582"/>
        <item x="33"/>
        <item x="652"/>
        <item x="458"/>
        <item x="388"/>
        <item x="600"/>
        <item x="257"/>
        <item x="163"/>
        <item x="356"/>
        <item x="540"/>
        <item x="322"/>
        <item x="18"/>
        <item x="250"/>
        <item x="232"/>
        <item x="29"/>
        <item x="47"/>
        <item x="430"/>
        <item x="455"/>
        <item x="111"/>
        <item x="145"/>
        <item x="702"/>
        <item x="337"/>
        <item x="262"/>
        <item x="157"/>
        <item x="647"/>
        <item x="141"/>
        <item x="515"/>
        <item x="67"/>
        <item x="626"/>
        <item x="223"/>
        <item x="81"/>
        <item x="425"/>
        <item x="279"/>
        <item x="373"/>
        <item x="405"/>
        <item x="305"/>
        <item x="463"/>
        <item x="396"/>
        <item x="625"/>
        <item x="502"/>
        <item x="292"/>
        <item x="628"/>
        <item x="85"/>
        <item x="3"/>
        <item x="127"/>
        <item x="394"/>
        <item x="598"/>
        <item x="342"/>
        <item x="206"/>
        <item x="534"/>
        <item x="372"/>
        <item x="381"/>
        <item x="677"/>
        <item x="596"/>
        <item x="469"/>
        <item x="182"/>
        <item x="470"/>
        <item x="679"/>
        <item x="210"/>
        <item x="684"/>
        <item x="103"/>
        <item x="520"/>
        <item x="299"/>
        <item x="16"/>
        <item x="220"/>
        <item x="663"/>
        <item x="361"/>
        <item x="667"/>
        <item x="240"/>
        <item x="657"/>
        <item x="259"/>
        <item x="382"/>
        <item x="17"/>
        <item x="287"/>
        <item x="188"/>
        <item x="128"/>
        <item x="558"/>
        <item x="519"/>
        <item x="521"/>
        <item x="401"/>
        <item x="54"/>
        <item x="547"/>
        <item x="552"/>
        <item x="651"/>
        <item x="476"/>
        <item x="116"/>
        <item x="166"/>
        <item x="565"/>
        <item x="620"/>
        <item x="483"/>
        <item x="538"/>
        <item x="490"/>
        <item x="84"/>
        <item x="560"/>
        <item x="90"/>
        <item x="695"/>
        <item x="58"/>
        <item x="225"/>
        <item x="264"/>
        <item x="518"/>
        <item x="529"/>
        <item x="23"/>
        <item x="180"/>
        <item x="608"/>
        <item x="428"/>
        <item x="316"/>
        <item x="338"/>
        <item x="293"/>
        <item x="4"/>
        <item x="261"/>
        <item x="653"/>
        <item x="399"/>
        <item x="270"/>
        <item x="149"/>
        <item x="642"/>
        <item x="227"/>
        <item x="656"/>
        <item x="318"/>
        <item x="114"/>
        <item x="286"/>
        <item x="123"/>
        <item x="297"/>
        <item x="594"/>
        <item x="216"/>
        <item x="473"/>
        <item x="15"/>
        <item x="533"/>
        <item x="367"/>
        <item x="456"/>
        <item x="587"/>
        <item x="35"/>
        <item x="639"/>
        <item x="592"/>
        <item x="272"/>
        <item x="277"/>
        <item x="211"/>
        <item x="294"/>
        <item x="397"/>
        <item x="2"/>
        <item x="30"/>
        <item x="251"/>
        <item x="99"/>
        <item x="479"/>
        <item x="440"/>
        <item x="231"/>
        <item x="184"/>
        <item x="588"/>
        <item x="449"/>
        <item x="139"/>
        <item x="480"/>
        <item x="190"/>
        <item x="522"/>
        <item x="349"/>
        <item x="129"/>
        <item x="136"/>
        <item x="49"/>
        <item x="673"/>
        <item x="548"/>
        <item x="330"/>
        <item x="437"/>
        <item x="581"/>
        <item x="131"/>
        <item x="454"/>
        <item x="130"/>
        <item x="76"/>
        <item x="447"/>
        <item x="178"/>
        <item x="498"/>
        <item x="457"/>
        <item x="472"/>
        <item x="314"/>
        <item x="615"/>
        <item x="362"/>
        <item x="602"/>
        <item x="140"/>
        <item x="478"/>
        <item x="309"/>
        <item x="334"/>
        <item x="431"/>
        <item x="143"/>
        <item x="526"/>
        <item x="678"/>
        <item x="585"/>
        <item x="452"/>
        <item x="387"/>
        <item x="92"/>
        <item x="619"/>
        <item x="471"/>
        <item x="110"/>
        <item x="371"/>
        <item x="614"/>
        <item x="406"/>
        <item x="517"/>
        <item t="default"/>
      </items>
    </pivotField>
    <pivotField showAll="0">
      <items count="5">
        <item x="3"/>
        <item x="1"/>
        <item x="0"/>
        <item x="2"/>
        <item t="default"/>
      </items>
    </pivotField>
    <pivotField showAll="0"/>
    <pivotField showAll="0"/>
    <pivotField showAll="0">
      <items count="5">
        <item x="3"/>
        <item x="1"/>
        <item x="2"/>
        <item x="0"/>
        <item t="default"/>
      </items>
    </pivotField>
    <pivotField showAll="0">
      <items count="6">
        <item x="1"/>
        <item x="0"/>
        <item x="3"/>
        <item x="4"/>
        <item x="2"/>
        <item t="default"/>
      </items>
    </pivotField>
    <pivotField axis="axisRow" showAll="0">
      <items count="6">
        <item x="1"/>
        <item x="3"/>
        <item x="4"/>
        <item x="2"/>
        <item x="0"/>
        <item t="default"/>
      </items>
    </pivotField>
    <pivotField showAll="0"/>
    <pivotField showAll="0"/>
    <pivotField showAll="0"/>
    <pivotField showAll="0"/>
    <pivotField showAll="0"/>
    <pivotField showAll="0"/>
    <pivotField showAll="0">
      <items count="3">
        <item x="0"/>
        <item x="1"/>
        <item t="default"/>
      </items>
    </pivotField>
  </pivotFields>
  <rowFields count="1">
    <field x="15"/>
  </rowFields>
  <rowItems count="6">
    <i>
      <x/>
    </i>
    <i>
      <x v="1"/>
    </i>
    <i>
      <x v="2"/>
    </i>
    <i>
      <x v="3"/>
    </i>
    <i>
      <x v="4"/>
    </i>
    <i t="grand">
      <x/>
    </i>
  </rowItems>
  <colItems count="1">
    <i/>
  </colItems>
  <dataFields count="1">
    <dataField name="Count of Employee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581203-3238-407F-9A8A-5F559713B19C}" name="Average Salary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Average Salary by Department">
  <location ref="A17:B26" firstHeaderRow="1" firstDataRow="1" firstDataCol="1"/>
  <pivotFields count="23">
    <pivotField showAll="0"/>
    <pivotField showAll="0"/>
    <pivotField showAll="0"/>
    <pivotField showAll="0">
      <items count="4">
        <item x="1"/>
        <item x="2"/>
        <item x="0"/>
        <item t="default"/>
      </items>
    </pivotField>
    <pivotField showAll="0"/>
    <pivotField showAll="0"/>
    <pivotField axis="axisRow" showAll="0">
      <items count="9">
        <item x="4"/>
        <item x="2"/>
        <item x="0"/>
        <item x="6"/>
        <item x="7"/>
        <item x="5"/>
        <item x="3"/>
        <item x="1"/>
        <item t="default"/>
      </items>
    </pivotField>
    <pivotField showAll="0"/>
    <pivotField showAll="0">
      <items count="4">
        <item x="1"/>
        <item x="0"/>
        <item x="2"/>
        <item t="default"/>
      </items>
    </pivotField>
    <pivotField showAll="0">
      <items count="705">
        <item x="544"/>
        <item x="303"/>
        <item x="21"/>
        <item x="51"/>
        <item x="484"/>
        <item x="578"/>
        <item x="332"/>
        <item x="513"/>
        <item x="664"/>
        <item x="352"/>
        <item x="694"/>
        <item x="386"/>
        <item x="119"/>
        <item x="468"/>
        <item x="307"/>
        <item x="71"/>
        <item x="312"/>
        <item x="164"/>
        <item x="363"/>
        <item x="247"/>
        <item x="83"/>
        <item x="107"/>
        <item x="584"/>
        <item x="700"/>
        <item x="561"/>
        <item x="252"/>
        <item x="607"/>
        <item x="69"/>
        <item x="126"/>
        <item x="121"/>
        <item x="441"/>
        <item x="500"/>
        <item x="226"/>
        <item x="568"/>
        <item x="426"/>
        <item x="66"/>
        <item x="243"/>
        <item x="354"/>
        <item x="174"/>
        <item x="429"/>
        <item x="443"/>
        <item x="142"/>
        <item x="572"/>
        <item x="12"/>
        <item x="599"/>
        <item x="61"/>
        <item x="385"/>
        <item x="202"/>
        <item x="177"/>
        <item x="246"/>
        <item x="310"/>
        <item x="666"/>
        <item x="9"/>
        <item x="102"/>
        <item x="491"/>
        <item x="234"/>
        <item x="91"/>
        <item x="98"/>
        <item x="633"/>
        <item x="224"/>
        <item x="467"/>
        <item x="434"/>
        <item x="94"/>
        <item x="112"/>
        <item x="335"/>
        <item x="120"/>
        <item x="229"/>
        <item x="323"/>
        <item x="553"/>
        <item x="617"/>
        <item x="489"/>
        <item x="511"/>
        <item x="151"/>
        <item x="528"/>
        <item x="298"/>
        <item x="171"/>
        <item x="435"/>
        <item x="108"/>
        <item x="635"/>
        <item x="113"/>
        <item x="688"/>
        <item x="254"/>
        <item x="25"/>
        <item x="301"/>
        <item x="209"/>
        <item x="495"/>
        <item x="649"/>
        <item x="26"/>
        <item x="442"/>
        <item x="622"/>
        <item x="551"/>
        <item x="616"/>
        <item x="20"/>
        <item x="350"/>
        <item x="253"/>
        <item x="676"/>
        <item x="304"/>
        <item x="604"/>
        <item x="611"/>
        <item x="674"/>
        <item x="280"/>
        <item x="331"/>
        <item x="68"/>
        <item x="320"/>
        <item x="44"/>
        <item x="11"/>
        <item x="624"/>
        <item x="325"/>
        <item x="75"/>
        <item x="138"/>
        <item x="477"/>
        <item x="675"/>
        <item x="417"/>
        <item x="88"/>
        <item x="302"/>
        <item x="634"/>
        <item x="52"/>
        <item x="204"/>
        <item x="605"/>
        <item x="557"/>
        <item x="563"/>
        <item x="105"/>
        <item x="170"/>
        <item x="284"/>
        <item x="487"/>
        <item x="306"/>
        <item x="146"/>
        <item x="424"/>
        <item x="248"/>
        <item x="283"/>
        <item x="343"/>
        <item x="275"/>
        <item x="404"/>
        <item x="571"/>
        <item x="516"/>
        <item x="106"/>
        <item x="32"/>
        <item x="62"/>
        <item x="324"/>
        <item x="683"/>
        <item x="357"/>
        <item x="543"/>
        <item x="78"/>
        <item x="562"/>
        <item x="403"/>
        <item x="402"/>
        <item x="497"/>
        <item x="662"/>
        <item x="379"/>
        <item x="194"/>
        <item x="197"/>
        <item x="514"/>
        <item x="8"/>
        <item x="690"/>
        <item x="321"/>
        <item x="564"/>
        <item x="239"/>
        <item x="221"/>
        <item x="506"/>
        <item x="219"/>
        <item x="213"/>
        <item x="150"/>
        <item x="448"/>
        <item x="222"/>
        <item x="412"/>
        <item x="613"/>
        <item x="380"/>
        <item x="648"/>
        <item x="439"/>
        <item x="556"/>
        <item x="186"/>
        <item x="575"/>
        <item x="40"/>
        <item x="60"/>
        <item x="291"/>
        <item x="300"/>
        <item x="80"/>
        <item x="168"/>
        <item x="668"/>
        <item x="618"/>
        <item x="691"/>
        <item x="418"/>
        <item x="451"/>
        <item x="465"/>
        <item x="158"/>
        <item x="218"/>
        <item x="637"/>
        <item x="576"/>
        <item x="27"/>
        <item x="198"/>
        <item x="358"/>
        <item x="55"/>
        <item x="601"/>
        <item x="376"/>
        <item x="645"/>
        <item x="566"/>
        <item x="43"/>
        <item x="416"/>
        <item x="636"/>
        <item x="238"/>
        <item x="433"/>
        <item x="87"/>
        <item x="375"/>
        <item x="348"/>
        <item x="384"/>
        <item x="368"/>
        <item x="340"/>
        <item x="697"/>
        <item x="535"/>
        <item x="512"/>
        <item x="496"/>
        <item x="531"/>
        <item x="640"/>
        <item x="205"/>
        <item x="100"/>
        <item x="192"/>
        <item x="567"/>
        <item x="24"/>
        <item x="193"/>
        <item x="181"/>
        <item x="460"/>
        <item x="296"/>
        <item x="31"/>
        <item x="450"/>
        <item x="609"/>
        <item x="86"/>
        <item x="7"/>
        <item x="282"/>
        <item x="689"/>
        <item x="650"/>
        <item x="93"/>
        <item x="319"/>
        <item x="89"/>
        <item x="508"/>
        <item x="693"/>
        <item x="258"/>
        <item x="546"/>
        <item x="241"/>
        <item x="459"/>
        <item x="570"/>
        <item x="179"/>
        <item x="308"/>
        <item x="215"/>
        <item x="482"/>
        <item x="525"/>
        <item x="117"/>
        <item x="462"/>
        <item x="537"/>
        <item x="603"/>
        <item x="341"/>
        <item x="366"/>
        <item x="159"/>
        <item x="255"/>
        <item x="701"/>
        <item x="536"/>
        <item x="586"/>
        <item x="345"/>
        <item x="256"/>
        <item x="422"/>
        <item x="542"/>
        <item x="77"/>
        <item x="70"/>
        <item x="510"/>
        <item x="125"/>
        <item x="289"/>
        <item x="492"/>
        <item x="389"/>
        <item x="14"/>
        <item x="504"/>
        <item x="370"/>
        <item x="1"/>
        <item x="589"/>
        <item x="630"/>
        <item x="423"/>
        <item x="539"/>
        <item x="347"/>
        <item x="494"/>
        <item x="104"/>
        <item x="56"/>
        <item x="53"/>
        <item x="503"/>
        <item x="195"/>
        <item x="196"/>
        <item x="161"/>
        <item x="82"/>
        <item x="643"/>
        <item x="191"/>
        <item x="631"/>
        <item x="278"/>
        <item x="290"/>
        <item x="438"/>
        <item x="237"/>
        <item x="623"/>
        <item x="421"/>
        <item x="235"/>
        <item x="172"/>
        <item x="285"/>
        <item x="346"/>
        <item x="274"/>
        <item x="493"/>
        <item x="72"/>
        <item x="574"/>
        <item x="336"/>
        <item x="228"/>
        <item x="153"/>
        <item x="475"/>
        <item x="485"/>
        <item x="207"/>
        <item x="249"/>
        <item x="391"/>
        <item x="244"/>
        <item x="175"/>
        <item x="74"/>
        <item x="245"/>
        <item x="39"/>
        <item x="315"/>
        <item x="169"/>
        <item x="505"/>
        <item x="413"/>
        <item x="271"/>
        <item x="19"/>
        <item x="155"/>
        <item x="266"/>
        <item x="124"/>
        <item x="680"/>
        <item x="383"/>
        <item x="230"/>
        <item x="65"/>
        <item x="329"/>
        <item x="167"/>
        <item x="281"/>
        <item x="583"/>
        <item x="499"/>
        <item x="344"/>
        <item x="681"/>
        <item x="654"/>
        <item x="644"/>
        <item x="165"/>
        <item x="96"/>
        <item x="115"/>
        <item x="79"/>
        <item x="671"/>
        <item x="214"/>
        <item x="559"/>
        <item x="63"/>
        <item x="50"/>
        <item x="147"/>
        <item x="360"/>
        <item x="638"/>
        <item x="22"/>
        <item x="555"/>
        <item x="199"/>
        <item x="267"/>
        <item x="597"/>
        <item x="419"/>
        <item x="134"/>
        <item x="612"/>
        <item x="217"/>
        <item x="187"/>
        <item x="144"/>
        <item x="233"/>
        <item x="444"/>
        <item x="661"/>
        <item x="591"/>
        <item x="212"/>
        <item x="339"/>
        <item x="665"/>
        <item x="699"/>
        <item x="0"/>
        <item x="632"/>
        <item x="436"/>
        <item x="410"/>
        <item x="655"/>
        <item x="333"/>
        <item x="532"/>
        <item x="95"/>
        <item x="64"/>
        <item x="148"/>
        <item x="414"/>
        <item x="200"/>
        <item x="415"/>
        <item x="573"/>
        <item x="461"/>
        <item x="703"/>
        <item x="48"/>
        <item x="154"/>
        <item x="6"/>
        <item x="135"/>
        <item x="541"/>
        <item x="692"/>
        <item x="265"/>
        <item x="550"/>
        <item x="57"/>
        <item x="203"/>
        <item x="37"/>
        <item x="432"/>
        <item x="464"/>
        <item x="392"/>
        <item x="408"/>
        <item x="593"/>
        <item x="268"/>
        <item x="395"/>
        <item x="685"/>
        <item x="549"/>
        <item x="398"/>
        <item x="45"/>
        <item x="378"/>
        <item x="236"/>
        <item x="46"/>
        <item x="28"/>
        <item x="118"/>
        <item x="400"/>
        <item x="660"/>
        <item x="590"/>
        <item x="501"/>
        <item x="577"/>
        <item x="101"/>
        <item x="672"/>
        <item x="132"/>
        <item x="288"/>
        <item x="524"/>
        <item x="351"/>
        <item x="646"/>
        <item x="409"/>
        <item x="364"/>
        <item x="509"/>
        <item x="326"/>
        <item x="393"/>
        <item x="41"/>
        <item x="554"/>
        <item x="446"/>
        <item x="407"/>
        <item x="527"/>
        <item x="109"/>
        <item x="355"/>
        <item x="696"/>
        <item x="185"/>
        <item x="481"/>
        <item x="59"/>
        <item x="507"/>
        <item x="445"/>
        <item x="411"/>
        <item x="353"/>
        <item x="276"/>
        <item x="189"/>
        <item x="621"/>
        <item x="122"/>
        <item x="156"/>
        <item x="545"/>
        <item x="377"/>
        <item x="242"/>
        <item x="670"/>
        <item x="97"/>
        <item x="269"/>
        <item x="36"/>
        <item x="313"/>
        <item x="311"/>
        <item x="369"/>
        <item x="390"/>
        <item x="659"/>
        <item x="474"/>
        <item x="641"/>
        <item x="687"/>
        <item x="698"/>
        <item x="523"/>
        <item x="595"/>
        <item x="160"/>
        <item x="162"/>
        <item x="328"/>
        <item x="359"/>
        <item x="420"/>
        <item x="295"/>
        <item x="42"/>
        <item x="486"/>
        <item x="260"/>
        <item x="201"/>
        <item x="133"/>
        <item x="629"/>
        <item x="208"/>
        <item x="569"/>
        <item x="374"/>
        <item x="273"/>
        <item x="682"/>
        <item x="453"/>
        <item x="152"/>
        <item x="466"/>
        <item x="488"/>
        <item x="34"/>
        <item x="530"/>
        <item x="627"/>
        <item x="183"/>
        <item x="137"/>
        <item x="606"/>
        <item x="13"/>
        <item x="263"/>
        <item x="173"/>
        <item x="176"/>
        <item x="38"/>
        <item x="73"/>
        <item x="10"/>
        <item x="658"/>
        <item x="686"/>
        <item x="327"/>
        <item x="427"/>
        <item x="669"/>
        <item x="579"/>
        <item x="580"/>
        <item x="365"/>
        <item x="610"/>
        <item x="317"/>
        <item x="5"/>
        <item x="582"/>
        <item x="33"/>
        <item x="652"/>
        <item x="458"/>
        <item x="388"/>
        <item x="600"/>
        <item x="257"/>
        <item x="163"/>
        <item x="356"/>
        <item x="540"/>
        <item x="322"/>
        <item x="18"/>
        <item x="250"/>
        <item x="232"/>
        <item x="29"/>
        <item x="47"/>
        <item x="430"/>
        <item x="455"/>
        <item x="111"/>
        <item x="145"/>
        <item x="702"/>
        <item x="337"/>
        <item x="262"/>
        <item x="157"/>
        <item x="647"/>
        <item x="141"/>
        <item x="515"/>
        <item x="67"/>
        <item x="626"/>
        <item x="223"/>
        <item x="81"/>
        <item x="425"/>
        <item x="279"/>
        <item x="373"/>
        <item x="405"/>
        <item x="305"/>
        <item x="463"/>
        <item x="396"/>
        <item x="625"/>
        <item x="502"/>
        <item x="292"/>
        <item x="628"/>
        <item x="85"/>
        <item x="3"/>
        <item x="127"/>
        <item x="394"/>
        <item x="598"/>
        <item x="342"/>
        <item x="206"/>
        <item x="534"/>
        <item x="372"/>
        <item x="381"/>
        <item x="677"/>
        <item x="596"/>
        <item x="469"/>
        <item x="182"/>
        <item x="470"/>
        <item x="679"/>
        <item x="210"/>
        <item x="684"/>
        <item x="103"/>
        <item x="520"/>
        <item x="299"/>
        <item x="16"/>
        <item x="220"/>
        <item x="663"/>
        <item x="361"/>
        <item x="667"/>
        <item x="240"/>
        <item x="657"/>
        <item x="259"/>
        <item x="382"/>
        <item x="17"/>
        <item x="287"/>
        <item x="188"/>
        <item x="128"/>
        <item x="558"/>
        <item x="519"/>
        <item x="521"/>
        <item x="401"/>
        <item x="54"/>
        <item x="547"/>
        <item x="552"/>
        <item x="651"/>
        <item x="476"/>
        <item x="116"/>
        <item x="166"/>
        <item x="565"/>
        <item x="620"/>
        <item x="483"/>
        <item x="538"/>
        <item x="490"/>
        <item x="84"/>
        <item x="560"/>
        <item x="90"/>
        <item x="695"/>
        <item x="58"/>
        <item x="225"/>
        <item x="264"/>
        <item x="518"/>
        <item x="529"/>
        <item x="23"/>
        <item x="180"/>
        <item x="608"/>
        <item x="428"/>
        <item x="316"/>
        <item x="338"/>
        <item x="293"/>
        <item x="4"/>
        <item x="261"/>
        <item x="653"/>
        <item x="399"/>
        <item x="270"/>
        <item x="149"/>
        <item x="642"/>
        <item x="227"/>
        <item x="656"/>
        <item x="318"/>
        <item x="114"/>
        <item x="286"/>
        <item x="123"/>
        <item x="297"/>
        <item x="594"/>
        <item x="216"/>
        <item x="473"/>
        <item x="15"/>
        <item x="533"/>
        <item x="367"/>
        <item x="456"/>
        <item x="587"/>
        <item x="35"/>
        <item x="639"/>
        <item x="592"/>
        <item x="272"/>
        <item x="277"/>
        <item x="211"/>
        <item x="294"/>
        <item x="397"/>
        <item x="2"/>
        <item x="30"/>
        <item x="251"/>
        <item x="99"/>
        <item x="479"/>
        <item x="440"/>
        <item x="231"/>
        <item x="184"/>
        <item x="588"/>
        <item x="449"/>
        <item x="139"/>
        <item x="480"/>
        <item x="190"/>
        <item x="522"/>
        <item x="349"/>
        <item x="129"/>
        <item x="136"/>
        <item x="49"/>
        <item x="673"/>
        <item x="548"/>
        <item x="330"/>
        <item x="437"/>
        <item x="581"/>
        <item x="131"/>
        <item x="454"/>
        <item x="130"/>
        <item x="76"/>
        <item x="447"/>
        <item x="178"/>
        <item x="498"/>
        <item x="457"/>
        <item x="472"/>
        <item x="314"/>
        <item x="615"/>
        <item x="362"/>
        <item x="602"/>
        <item x="140"/>
        <item x="478"/>
        <item x="309"/>
        <item x="334"/>
        <item x="431"/>
        <item x="143"/>
        <item x="526"/>
        <item x="678"/>
        <item x="585"/>
        <item x="452"/>
        <item x="387"/>
        <item x="92"/>
        <item x="619"/>
        <item x="471"/>
        <item x="110"/>
        <item x="371"/>
        <item x="614"/>
        <item x="406"/>
        <item x="517"/>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s>
  <rowFields count="1">
    <field x="6"/>
  </rowFields>
  <rowItems count="9">
    <i>
      <x/>
    </i>
    <i>
      <x v="1"/>
    </i>
    <i>
      <x v="2"/>
    </i>
    <i>
      <x v="3"/>
    </i>
    <i>
      <x v="4"/>
    </i>
    <i>
      <x v="5"/>
    </i>
    <i>
      <x v="6"/>
    </i>
    <i>
      <x v="7"/>
    </i>
    <i t="grand">
      <x/>
    </i>
  </rowItems>
  <colItems count="1">
    <i/>
  </colItems>
  <dataFields count="1">
    <dataField name="Average of Salary" fld="19" subtotal="average" baseField="6" baseItem="0"/>
  </dataFields>
  <formats count="1">
    <format dxfId="73">
      <pivotArea collapsedLevelsAreSubtotals="1" fieldPosition="0">
        <references count="1">
          <reference field="6" count="0"/>
        </references>
      </pivotArea>
    </format>
  </formats>
  <chartFormats count="1">
    <chartFormat chart="1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68DCE1-99F0-4256-90FA-F41AEB6A9443}" name="Average Bonus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Average Bonus by Department">
  <location ref="A29:B38" firstHeaderRow="1" firstDataRow="1" firstDataCol="1"/>
  <pivotFields count="23">
    <pivotField showAll="0"/>
    <pivotField showAll="0"/>
    <pivotField showAll="0"/>
    <pivotField showAll="0">
      <items count="4">
        <item x="1"/>
        <item x="2"/>
        <item x="0"/>
        <item t="default"/>
      </items>
    </pivotField>
    <pivotField showAll="0"/>
    <pivotField showAll="0"/>
    <pivotField axis="axisRow" showAll="0">
      <items count="9">
        <item x="4"/>
        <item x="2"/>
        <item x="0"/>
        <item x="6"/>
        <item x="7"/>
        <item x="5"/>
        <item x="3"/>
        <item x="1"/>
        <item t="default"/>
      </items>
    </pivotField>
    <pivotField showAll="0"/>
    <pivotField showAll="0">
      <items count="4">
        <item x="1"/>
        <item x="0"/>
        <item x="2"/>
        <item t="default"/>
      </items>
    </pivotField>
    <pivotField showAll="0">
      <items count="705">
        <item x="544"/>
        <item x="303"/>
        <item x="21"/>
        <item x="51"/>
        <item x="484"/>
        <item x="578"/>
        <item x="332"/>
        <item x="513"/>
        <item x="664"/>
        <item x="352"/>
        <item x="694"/>
        <item x="386"/>
        <item x="119"/>
        <item x="468"/>
        <item x="307"/>
        <item x="71"/>
        <item x="312"/>
        <item x="164"/>
        <item x="363"/>
        <item x="247"/>
        <item x="83"/>
        <item x="107"/>
        <item x="584"/>
        <item x="700"/>
        <item x="561"/>
        <item x="252"/>
        <item x="607"/>
        <item x="69"/>
        <item x="126"/>
        <item x="121"/>
        <item x="441"/>
        <item x="500"/>
        <item x="226"/>
        <item x="568"/>
        <item x="426"/>
        <item x="66"/>
        <item x="243"/>
        <item x="354"/>
        <item x="174"/>
        <item x="429"/>
        <item x="443"/>
        <item x="142"/>
        <item x="572"/>
        <item x="12"/>
        <item x="599"/>
        <item x="61"/>
        <item x="385"/>
        <item x="202"/>
        <item x="177"/>
        <item x="246"/>
        <item x="310"/>
        <item x="666"/>
        <item x="9"/>
        <item x="102"/>
        <item x="491"/>
        <item x="234"/>
        <item x="91"/>
        <item x="98"/>
        <item x="633"/>
        <item x="224"/>
        <item x="467"/>
        <item x="434"/>
        <item x="94"/>
        <item x="112"/>
        <item x="335"/>
        <item x="120"/>
        <item x="229"/>
        <item x="323"/>
        <item x="553"/>
        <item x="617"/>
        <item x="489"/>
        <item x="511"/>
        <item x="151"/>
        <item x="528"/>
        <item x="298"/>
        <item x="171"/>
        <item x="435"/>
        <item x="108"/>
        <item x="635"/>
        <item x="113"/>
        <item x="688"/>
        <item x="254"/>
        <item x="25"/>
        <item x="301"/>
        <item x="209"/>
        <item x="495"/>
        <item x="649"/>
        <item x="26"/>
        <item x="442"/>
        <item x="622"/>
        <item x="551"/>
        <item x="616"/>
        <item x="20"/>
        <item x="350"/>
        <item x="253"/>
        <item x="676"/>
        <item x="304"/>
        <item x="604"/>
        <item x="611"/>
        <item x="674"/>
        <item x="280"/>
        <item x="331"/>
        <item x="68"/>
        <item x="320"/>
        <item x="44"/>
        <item x="11"/>
        <item x="624"/>
        <item x="325"/>
        <item x="75"/>
        <item x="138"/>
        <item x="477"/>
        <item x="675"/>
        <item x="417"/>
        <item x="88"/>
        <item x="302"/>
        <item x="634"/>
        <item x="52"/>
        <item x="204"/>
        <item x="605"/>
        <item x="557"/>
        <item x="563"/>
        <item x="105"/>
        <item x="170"/>
        <item x="284"/>
        <item x="487"/>
        <item x="306"/>
        <item x="146"/>
        <item x="424"/>
        <item x="248"/>
        <item x="283"/>
        <item x="343"/>
        <item x="275"/>
        <item x="404"/>
        <item x="571"/>
        <item x="516"/>
        <item x="106"/>
        <item x="32"/>
        <item x="62"/>
        <item x="324"/>
        <item x="683"/>
        <item x="357"/>
        <item x="543"/>
        <item x="78"/>
        <item x="562"/>
        <item x="403"/>
        <item x="402"/>
        <item x="497"/>
        <item x="662"/>
        <item x="379"/>
        <item x="194"/>
        <item x="197"/>
        <item x="514"/>
        <item x="8"/>
        <item x="690"/>
        <item x="321"/>
        <item x="564"/>
        <item x="239"/>
        <item x="221"/>
        <item x="506"/>
        <item x="219"/>
        <item x="213"/>
        <item x="150"/>
        <item x="448"/>
        <item x="222"/>
        <item x="412"/>
        <item x="613"/>
        <item x="380"/>
        <item x="648"/>
        <item x="439"/>
        <item x="556"/>
        <item x="186"/>
        <item x="575"/>
        <item x="40"/>
        <item x="60"/>
        <item x="291"/>
        <item x="300"/>
        <item x="80"/>
        <item x="168"/>
        <item x="668"/>
        <item x="618"/>
        <item x="691"/>
        <item x="418"/>
        <item x="451"/>
        <item x="465"/>
        <item x="158"/>
        <item x="218"/>
        <item x="637"/>
        <item x="576"/>
        <item x="27"/>
        <item x="198"/>
        <item x="358"/>
        <item x="55"/>
        <item x="601"/>
        <item x="376"/>
        <item x="645"/>
        <item x="566"/>
        <item x="43"/>
        <item x="416"/>
        <item x="636"/>
        <item x="238"/>
        <item x="433"/>
        <item x="87"/>
        <item x="375"/>
        <item x="348"/>
        <item x="384"/>
        <item x="368"/>
        <item x="340"/>
        <item x="697"/>
        <item x="535"/>
        <item x="512"/>
        <item x="496"/>
        <item x="531"/>
        <item x="640"/>
        <item x="205"/>
        <item x="100"/>
        <item x="192"/>
        <item x="567"/>
        <item x="24"/>
        <item x="193"/>
        <item x="181"/>
        <item x="460"/>
        <item x="296"/>
        <item x="31"/>
        <item x="450"/>
        <item x="609"/>
        <item x="86"/>
        <item x="7"/>
        <item x="282"/>
        <item x="689"/>
        <item x="650"/>
        <item x="93"/>
        <item x="319"/>
        <item x="89"/>
        <item x="508"/>
        <item x="693"/>
        <item x="258"/>
        <item x="546"/>
        <item x="241"/>
        <item x="459"/>
        <item x="570"/>
        <item x="179"/>
        <item x="308"/>
        <item x="215"/>
        <item x="482"/>
        <item x="525"/>
        <item x="117"/>
        <item x="462"/>
        <item x="537"/>
        <item x="603"/>
        <item x="341"/>
        <item x="366"/>
        <item x="159"/>
        <item x="255"/>
        <item x="701"/>
        <item x="536"/>
        <item x="586"/>
        <item x="345"/>
        <item x="256"/>
        <item x="422"/>
        <item x="542"/>
        <item x="77"/>
        <item x="70"/>
        <item x="510"/>
        <item x="125"/>
        <item x="289"/>
        <item x="492"/>
        <item x="389"/>
        <item x="14"/>
        <item x="504"/>
        <item x="370"/>
        <item x="1"/>
        <item x="589"/>
        <item x="630"/>
        <item x="423"/>
        <item x="539"/>
        <item x="347"/>
        <item x="494"/>
        <item x="104"/>
        <item x="56"/>
        <item x="53"/>
        <item x="503"/>
        <item x="195"/>
        <item x="196"/>
        <item x="161"/>
        <item x="82"/>
        <item x="643"/>
        <item x="191"/>
        <item x="631"/>
        <item x="278"/>
        <item x="290"/>
        <item x="438"/>
        <item x="237"/>
        <item x="623"/>
        <item x="421"/>
        <item x="235"/>
        <item x="172"/>
        <item x="285"/>
        <item x="346"/>
        <item x="274"/>
        <item x="493"/>
        <item x="72"/>
        <item x="574"/>
        <item x="336"/>
        <item x="228"/>
        <item x="153"/>
        <item x="475"/>
        <item x="485"/>
        <item x="207"/>
        <item x="249"/>
        <item x="391"/>
        <item x="244"/>
        <item x="175"/>
        <item x="74"/>
        <item x="245"/>
        <item x="39"/>
        <item x="315"/>
        <item x="169"/>
        <item x="505"/>
        <item x="413"/>
        <item x="271"/>
        <item x="19"/>
        <item x="155"/>
        <item x="266"/>
        <item x="124"/>
        <item x="680"/>
        <item x="383"/>
        <item x="230"/>
        <item x="65"/>
        <item x="329"/>
        <item x="167"/>
        <item x="281"/>
        <item x="583"/>
        <item x="499"/>
        <item x="344"/>
        <item x="681"/>
        <item x="654"/>
        <item x="644"/>
        <item x="165"/>
        <item x="96"/>
        <item x="115"/>
        <item x="79"/>
        <item x="671"/>
        <item x="214"/>
        <item x="559"/>
        <item x="63"/>
        <item x="50"/>
        <item x="147"/>
        <item x="360"/>
        <item x="638"/>
        <item x="22"/>
        <item x="555"/>
        <item x="199"/>
        <item x="267"/>
        <item x="597"/>
        <item x="419"/>
        <item x="134"/>
        <item x="612"/>
        <item x="217"/>
        <item x="187"/>
        <item x="144"/>
        <item x="233"/>
        <item x="444"/>
        <item x="661"/>
        <item x="591"/>
        <item x="212"/>
        <item x="339"/>
        <item x="665"/>
        <item x="699"/>
        <item x="0"/>
        <item x="632"/>
        <item x="436"/>
        <item x="410"/>
        <item x="655"/>
        <item x="333"/>
        <item x="532"/>
        <item x="95"/>
        <item x="64"/>
        <item x="148"/>
        <item x="414"/>
        <item x="200"/>
        <item x="415"/>
        <item x="573"/>
        <item x="461"/>
        <item x="703"/>
        <item x="48"/>
        <item x="154"/>
        <item x="6"/>
        <item x="135"/>
        <item x="541"/>
        <item x="692"/>
        <item x="265"/>
        <item x="550"/>
        <item x="57"/>
        <item x="203"/>
        <item x="37"/>
        <item x="432"/>
        <item x="464"/>
        <item x="392"/>
        <item x="408"/>
        <item x="593"/>
        <item x="268"/>
        <item x="395"/>
        <item x="685"/>
        <item x="549"/>
        <item x="398"/>
        <item x="45"/>
        <item x="378"/>
        <item x="236"/>
        <item x="46"/>
        <item x="28"/>
        <item x="118"/>
        <item x="400"/>
        <item x="660"/>
        <item x="590"/>
        <item x="501"/>
        <item x="577"/>
        <item x="101"/>
        <item x="672"/>
        <item x="132"/>
        <item x="288"/>
        <item x="524"/>
        <item x="351"/>
        <item x="646"/>
        <item x="409"/>
        <item x="364"/>
        <item x="509"/>
        <item x="326"/>
        <item x="393"/>
        <item x="41"/>
        <item x="554"/>
        <item x="446"/>
        <item x="407"/>
        <item x="527"/>
        <item x="109"/>
        <item x="355"/>
        <item x="696"/>
        <item x="185"/>
        <item x="481"/>
        <item x="59"/>
        <item x="507"/>
        <item x="445"/>
        <item x="411"/>
        <item x="353"/>
        <item x="276"/>
        <item x="189"/>
        <item x="621"/>
        <item x="122"/>
        <item x="156"/>
        <item x="545"/>
        <item x="377"/>
        <item x="242"/>
        <item x="670"/>
        <item x="97"/>
        <item x="269"/>
        <item x="36"/>
        <item x="313"/>
        <item x="311"/>
        <item x="369"/>
        <item x="390"/>
        <item x="659"/>
        <item x="474"/>
        <item x="641"/>
        <item x="687"/>
        <item x="698"/>
        <item x="523"/>
        <item x="595"/>
        <item x="160"/>
        <item x="162"/>
        <item x="328"/>
        <item x="359"/>
        <item x="420"/>
        <item x="295"/>
        <item x="42"/>
        <item x="486"/>
        <item x="260"/>
        <item x="201"/>
        <item x="133"/>
        <item x="629"/>
        <item x="208"/>
        <item x="569"/>
        <item x="374"/>
        <item x="273"/>
        <item x="682"/>
        <item x="453"/>
        <item x="152"/>
        <item x="466"/>
        <item x="488"/>
        <item x="34"/>
        <item x="530"/>
        <item x="627"/>
        <item x="183"/>
        <item x="137"/>
        <item x="606"/>
        <item x="13"/>
        <item x="263"/>
        <item x="173"/>
        <item x="176"/>
        <item x="38"/>
        <item x="73"/>
        <item x="10"/>
        <item x="658"/>
        <item x="686"/>
        <item x="327"/>
        <item x="427"/>
        <item x="669"/>
        <item x="579"/>
        <item x="580"/>
        <item x="365"/>
        <item x="610"/>
        <item x="317"/>
        <item x="5"/>
        <item x="582"/>
        <item x="33"/>
        <item x="652"/>
        <item x="458"/>
        <item x="388"/>
        <item x="600"/>
        <item x="257"/>
        <item x="163"/>
        <item x="356"/>
        <item x="540"/>
        <item x="322"/>
        <item x="18"/>
        <item x="250"/>
        <item x="232"/>
        <item x="29"/>
        <item x="47"/>
        <item x="430"/>
        <item x="455"/>
        <item x="111"/>
        <item x="145"/>
        <item x="702"/>
        <item x="337"/>
        <item x="262"/>
        <item x="157"/>
        <item x="647"/>
        <item x="141"/>
        <item x="515"/>
        <item x="67"/>
        <item x="626"/>
        <item x="223"/>
        <item x="81"/>
        <item x="425"/>
        <item x="279"/>
        <item x="373"/>
        <item x="405"/>
        <item x="305"/>
        <item x="463"/>
        <item x="396"/>
        <item x="625"/>
        <item x="502"/>
        <item x="292"/>
        <item x="628"/>
        <item x="85"/>
        <item x="3"/>
        <item x="127"/>
        <item x="394"/>
        <item x="598"/>
        <item x="342"/>
        <item x="206"/>
        <item x="534"/>
        <item x="372"/>
        <item x="381"/>
        <item x="677"/>
        <item x="596"/>
        <item x="469"/>
        <item x="182"/>
        <item x="470"/>
        <item x="679"/>
        <item x="210"/>
        <item x="684"/>
        <item x="103"/>
        <item x="520"/>
        <item x="299"/>
        <item x="16"/>
        <item x="220"/>
        <item x="663"/>
        <item x="361"/>
        <item x="667"/>
        <item x="240"/>
        <item x="657"/>
        <item x="259"/>
        <item x="382"/>
        <item x="17"/>
        <item x="287"/>
        <item x="188"/>
        <item x="128"/>
        <item x="558"/>
        <item x="519"/>
        <item x="521"/>
        <item x="401"/>
        <item x="54"/>
        <item x="547"/>
        <item x="552"/>
        <item x="651"/>
        <item x="476"/>
        <item x="116"/>
        <item x="166"/>
        <item x="565"/>
        <item x="620"/>
        <item x="483"/>
        <item x="538"/>
        <item x="490"/>
        <item x="84"/>
        <item x="560"/>
        <item x="90"/>
        <item x="695"/>
        <item x="58"/>
        <item x="225"/>
        <item x="264"/>
        <item x="518"/>
        <item x="529"/>
        <item x="23"/>
        <item x="180"/>
        <item x="608"/>
        <item x="428"/>
        <item x="316"/>
        <item x="338"/>
        <item x="293"/>
        <item x="4"/>
        <item x="261"/>
        <item x="653"/>
        <item x="399"/>
        <item x="270"/>
        <item x="149"/>
        <item x="642"/>
        <item x="227"/>
        <item x="656"/>
        <item x="318"/>
        <item x="114"/>
        <item x="286"/>
        <item x="123"/>
        <item x="297"/>
        <item x="594"/>
        <item x="216"/>
        <item x="473"/>
        <item x="15"/>
        <item x="533"/>
        <item x="367"/>
        <item x="456"/>
        <item x="587"/>
        <item x="35"/>
        <item x="639"/>
        <item x="592"/>
        <item x="272"/>
        <item x="277"/>
        <item x="211"/>
        <item x="294"/>
        <item x="397"/>
        <item x="2"/>
        <item x="30"/>
        <item x="251"/>
        <item x="99"/>
        <item x="479"/>
        <item x="440"/>
        <item x="231"/>
        <item x="184"/>
        <item x="588"/>
        <item x="449"/>
        <item x="139"/>
        <item x="480"/>
        <item x="190"/>
        <item x="522"/>
        <item x="349"/>
        <item x="129"/>
        <item x="136"/>
        <item x="49"/>
        <item x="673"/>
        <item x="548"/>
        <item x="330"/>
        <item x="437"/>
        <item x="581"/>
        <item x="131"/>
        <item x="454"/>
        <item x="130"/>
        <item x="76"/>
        <item x="447"/>
        <item x="178"/>
        <item x="498"/>
        <item x="457"/>
        <item x="472"/>
        <item x="314"/>
        <item x="615"/>
        <item x="362"/>
        <item x="602"/>
        <item x="140"/>
        <item x="478"/>
        <item x="309"/>
        <item x="334"/>
        <item x="431"/>
        <item x="143"/>
        <item x="526"/>
        <item x="678"/>
        <item x="585"/>
        <item x="452"/>
        <item x="387"/>
        <item x="92"/>
        <item x="619"/>
        <item x="471"/>
        <item x="110"/>
        <item x="371"/>
        <item x="614"/>
        <item x="406"/>
        <item x="517"/>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s>
  <rowFields count="1">
    <field x="6"/>
  </rowFields>
  <rowItems count="9">
    <i>
      <x/>
    </i>
    <i>
      <x v="1"/>
    </i>
    <i>
      <x v="2"/>
    </i>
    <i>
      <x v="3"/>
    </i>
    <i>
      <x v="4"/>
    </i>
    <i>
      <x v="5"/>
    </i>
    <i>
      <x v="6"/>
    </i>
    <i>
      <x v="7"/>
    </i>
    <i t="grand">
      <x/>
    </i>
  </rowItems>
  <colItems count="1">
    <i/>
  </colItems>
  <dataFields count="1">
    <dataField name="Average of Bonus" fld="20" subtotal="average" baseField="6" baseItem="0"/>
  </dataFields>
  <formats count="1">
    <format dxfId="74">
      <pivotArea collapsedLevelsAreSubtotals="1" fieldPosition="0">
        <references count="1">
          <reference field="6" count="0"/>
        </references>
      </pivotArea>
    </format>
  </format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D18BA1-3CCE-46E1-8AF2-9A16CDBD9DE8}" name="Attrition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3:J13" firstHeaderRow="1" firstDataRow="2" firstDataCol="1"/>
  <pivotFields count="23">
    <pivotField dataField="1" showAll="0"/>
    <pivotField showAll="0"/>
    <pivotField showAll="0"/>
    <pivotField showAll="0">
      <items count="4">
        <item x="1"/>
        <item x="2"/>
        <item x="0"/>
        <item t="default"/>
      </items>
    </pivotField>
    <pivotField showAll="0"/>
    <pivotField showAll="0"/>
    <pivotField axis="axisRow" showAll="0">
      <items count="9">
        <item x="4"/>
        <item x="2"/>
        <item x="0"/>
        <item x="6"/>
        <item x="7"/>
        <item x="5"/>
        <item x="3"/>
        <item x="1"/>
        <item t="default"/>
      </items>
    </pivotField>
    <pivotField showAll="0"/>
    <pivotField showAll="0">
      <items count="4">
        <item x="1"/>
        <item x="0"/>
        <item x="2"/>
        <item t="default"/>
      </items>
    </pivotField>
    <pivotField showAll="0">
      <items count="705">
        <item x="544"/>
        <item x="303"/>
        <item x="21"/>
        <item x="51"/>
        <item x="484"/>
        <item x="578"/>
        <item x="332"/>
        <item x="513"/>
        <item x="664"/>
        <item x="352"/>
        <item x="694"/>
        <item x="386"/>
        <item x="119"/>
        <item x="468"/>
        <item x="307"/>
        <item x="71"/>
        <item x="312"/>
        <item x="164"/>
        <item x="363"/>
        <item x="247"/>
        <item x="83"/>
        <item x="107"/>
        <item x="584"/>
        <item x="700"/>
        <item x="561"/>
        <item x="252"/>
        <item x="607"/>
        <item x="69"/>
        <item x="126"/>
        <item x="121"/>
        <item x="441"/>
        <item x="500"/>
        <item x="226"/>
        <item x="568"/>
        <item x="426"/>
        <item x="66"/>
        <item x="243"/>
        <item x="354"/>
        <item x="174"/>
        <item x="429"/>
        <item x="443"/>
        <item x="142"/>
        <item x="572"/>
        <item x="12"/>
        <item x="599"/>
        <item x="61"/>
        <item x="385"/>
        <item x="202"/>
        <item x="177"/>
        <item x="246"/>
        <item x="310"/>
        <item x="666"/>
        <item x="9"/>
        <item x="102"/>
        <item x="491"/>
        <item x="234"/>
        <item x="91"/>
        <item x="98"/>
        <item x="633"/>
        <item x="224"/>
        <item x="467"/>
        <item x="434"/>
        <item x="94"/>
        <item x="112"/>
        <item x="335"/>
        <item x="120"/>
        <item x="229"/>
        <item x="323"/>
        <item x="553"/>
        <item x="617"/>
        <item x="489"/>
        <item x="511"/>
        <item x="151"/>
        <item x="528"/>
        <item x="298"/>
        <item x="171"/>
        <item x="435"/>
        <item x="108"/>
        <item x="635"/>
        <item x="113"/>
        <item x="688"/>
        <item x="254"/>
        <item x="25"/>
        <item x="301"/>
        <item x="209"/>
        <item x="495"/>
        <item x="649"/>
        <item x="26"/>
        <item x="442"/>
        <item x="622"/>
        <item x="551"/>
        <item x="616"/>
        <item x="20"/>
        <item x="350"/>
        <item x="253"/>
        <item x="676"/>
        <item x="304"/>
        <item x="604"/>
        <item x="611"/>
        <item x="674"/>
        <item x="280"/>
        <item x="331"/>
        <item x="68"/>
        <item x="320"/>
        <item x="44"/>
        <item x="11"/>
        <item x="624"/>
        <item x="325"/>
        <item x="75"/>
        <item x="138"/>
        <item x="477"/>
        <item x="675"/>
        <item x="417"/>
        <item x="88"/>
        <item x="302"/>
        <item x="634"/>
        <item x="52"/>
        <item x="204"/>
        <item x="605"/>
        <item x="557"/>
        <item x="563"/>
        <item x="105"/>
        <item x="170"/>
        <item x="284"/>
        <item x="487"/>
        <item x="306"/>
        <item x="146"/>
        <item x="424"/>
        <item x="248"/>
        <item x="283"/>
        <item x="343"/>
        <item x="275"/>
        <item x="404"/>
        <item x="571"/>
        <item x="516"/>
        <item x="106"/>
        <item x="32"/>
        <item x="62"/>
        <item x="324"/>
        <item x="683"/>
        <item x="357"/>
        <item x="543"/>
        <item x="78"/>
        <item x="562"/>
        <item x="403"/>
        <item x="402"/>
        <item x="497"/>
        <item x="662"/>
        <item x="379"/>
        <item x="194"/>
        <item x="197"/>
        <item x="514"/>
        <item x="8"/>
        <item x="690"/>
        <item x="321"/>
        <item x="564"/>
        <item x="239"/>
        <item x="221"/>
        <item x="506"/>
        <item x="219"/>
        <item x="213"/>
        <item x="150"/>
        <item x="448"/>
        <item x="222"/>
        <item x="412"/>
        <item x="613"/>
        <item x="380"/>
        <item x="648"/>
        <item x="439"/>
        <item x="556"/>
        <item x="186"/>
        <item x="575"/>
        <item x="40"/>
        <item x="60"/>
        <item x="291"/>
        <item x="300"/>
        <item x="80"/>
        <item x="168"/>
        <item x="668"/>
        <item x="618"/>
        <item x="691"/>
        <item x="418"/>
        <item x="451"/>
        <item x="465"/>
        <item x="158"/>
        <item x="218"/>
        <item x="637"/>
        <item x="576"/>
        <item x="27"/>
        <item x="198"/>
        <item x="358"/>
        <item x="55"/>
        <item x="601"/>
        <item x="376"/>
        <item x="645"/>
        <item x="566"/>
        <item x="43"/>
        <item x="416"/>
        <item x="636"/>
        <item x="238"/>
        <item x="433"/>
        <item x="87"/>
        <item x="375"/>
        <item x="348"/>
        <item x="384"/>
        <item x="368"/>
        <item x="340"/>
        <item x="697"/>
        <item x="535"/>
        <item x="512"/>
        <item x="496"/>
        <item x="531"/>
        <item x="640"/>
        <item x="205"/>
        <item x="100"/>
        <item x="192"/>
        <item x="567"/>
        <item x="24"/>
        <item x="193"/>
        <item x="181"/>
        <item x="460"/>
        <item x="296"/>
        <item x="31"/>
        <item x="450"/>
        <item x="609"/>
        <item x="86"/>
        <item x="7"/>
        <item x="282"/>
        <item x="689"/>
        <item x="650"/>
        <item x="93"/>
        <item x="319"/>
        <item x="89"/>
        <item x="508"/>
        <item x="693"/>
        <item x="258"/>
        <item x="546"/>
        <item x="241"/>
        <item x="459"/>
        <item x="570"/>
        <item x="179"/>
        <item x="308"/>
        <item x="215"/>
        <item x="482"/>
        <item x="525"/>
        <item x="117"/>
        <item x="462"/>
        <item x="537"/>
        <item x="603"/>
        <item x="341"/>
        <item x="366"/>
        <item x="159"/>
        <item x="255"/>
        <item x="701"/>
        <item x="536"/>
        <item x="586"/>
        <item x="345"/>
        <item x="256"/>
        <item x="422"/>
        <item x="542"/>
        <item x="77"/>
        <item x="70"/>
        <item x="510"/>
        <item x="125"/>
        <item x="289"/>
        <item x="492"/>
        <item x="389"/>
        <item x="14"/>
        <item x="504"/>
        <item x="370"/>
        <item x="1"/>
        <item x="589"/>
        <item x="630"/>
        <item x="423"/>
        <item x="539"/>
        <item x="347"/>
        <item x="494"/>
        <item x="104"/>
        <item x="56"/>
        <item x="53"/>
        <item x="503"/>
        <item x="195"/>
        <item x="196"/>
        <item x="161"/>
        <item x="82"/>
        <item x="643"/>
        <item x="191"/>
        <item x="631"/>
        <item x="278"/>
        <item x="290"/>
        <item x="438"/>
        <item x="237"/>
        <item x="623"/>
        <item x="421"/>
        <item x="235"/>
        <item x="172"/>
        <item x="285"/>
        <item x="346"/>
        <item x="274"/>
        <item x="493"/>
        <item x="72"/>
        <item x="574"/>
        <item x="336"/>
        <item x="228"/>
        <item x="153"/>
        <item x="475"/>
        <item x="485"/>
        <item x="207"/>
        <item x="249"/>
        <item x="391"/>
        <item x="244"/>
        <item x="175"/>
        <item x="74"/>
        <item x="245"/>
        <item x="39"/>
        <item x="315"/>
        <item x="169"/>
        <item x="505"/>
        <item x="413"/>
        <item x="271"/>
        <item x="19"/>
        <item x="155"/>
        <item x="266"/>
        <item x="124"/>
        <item x="680"/>
        <item x="383"/>
        <item x="230"/>
        <item x="65"/>
        <item x="329"/>
        <item x="167"/>
        <item x="281"/>
        <item x="583"/>
        <item x="499"/>
        <item x="344"/>
        <item x="681"/>
        <item x="654"/>
        <item x="644"/>
        <item x="165"/>
        <item x="96"/>
        <item x="115"/>
        <item x="79"/>
        <item x="671"/>
        <item x="214"/>
        <item x="559"/>
        <item x="63"/>
        <item x="50"/>
        <item x="147"/>
        <item x="360"/>
        <item x="638"/>
        <item x="22"/>
        <item x="555"/>
        <item x="199"/>
        <item x="267"/>
        <item x="597"/>
        <item x="419"/>
        <item x="134"/>
        <item x="612"/>
        <item x="217"/>
        <item x="187"/>
        <item x="144"/>
        <item x="233"/>
        <item x="444"/>
        <item x="661"/>
        <item x="591"/>
        <item x="212"/>
        <item x="339"/>
        <item x="665"/>
        <item x="699"/>
        <item x="0"/>
        <item x="632"/>
        <item x="436"/>
        <item x="410"/>
        <item x="655"/>
        <item x="333"/>
        <item x="532"/>
        <item x="95"/>
        <item x="64"/>
        <item x="148"/>
        <item x="414"/>
        <item x="200"/>
        <item x="415"/>
        <item x="573"/>
        <item x="461"/>
        <item x="703"/>
        <item x="48"/>
        <item x="154"/>
        <item x="6"/>
        <item x="135"/>
        <item x="541"/>
        <item x="692"/>
        <item x="265"/>
        <item x="550"/>
        <item x="57"/>
        <item x="203"/>
        <item x="37"/>
        <item x="432"/>
        <item x="464"/>
        <item x="392"/>
        <item x="408"/>
        <item x="593"/>
        <item x="268"/>
        <item x="395"/>
        <item x="685"/>
        <item x="549"/>
        <item x="398"/>
        <item x="45"/>
        <item x="378"/>
        <item x="236"/>
        <item x="46"/>
        <item x="28"/>
        <item x="118"/>
        <item x="400"/>
        <item x="660"/>
        <item x="590"/>
        <item x="501"/>
        <item x="577"/>
        <item x="101"/>
        <item x="672"/>
        <item x="132"/>
        <item x="288"/>
        <item x="524"/>
        <item x="351"/>
        <item x="646"/>
        <item x="409"/>
        <item x="364"/>
        <item x="509"/>
        <item x="326"/>
        <item x="393"/>
        <item x="41"/>
        <item x="554"/>
        <item x="446"/>
        <item x="407"/>
        <item x="527"/>
        <item x="109"/>
        <item x="355"/>
        <item x="696"/>
        <item x="185"/>
        <item x="481"/>
        <item x="59"/>
        <item x="507"/>
        <item x="445"/>
        <item x="411"/>
        <item x="353"/>
        <item x="276"/>
        <item x="189"/>
        <item x="621"/>
        <item x="122"/>
        <item x="156"/>
        <item x="545"/>
        <item x="377"/>
        <item x="242"/>
        <item x="670"/>
        <item x="97"/>
        <item x="269"/>
        <item x="36"/>
        <item x="313"/>
        <item x="311"/>
        <item x="369"/>
        <item x="390"/>
        <item x="659"/>
        <item x="474"/>
        <item x="641"/>
        <item x="687"/>
        <item x="698"/>
        <item x="523"/>
        <item x="595"/>
        <item x="160"/>
        <item x="162"/>
        <item x="328"/>
        <item x="359"/>
        <item x="420"/>
        <item x="295"/>
        <item x="42"/>
        <item x="486"/>
        <item x="260"/>
        <item x="201"/>
        <item x="133"/>
        <item x="629"/>
        <item x="208"/>
        <item x="569"/>
        <item x="374"/>
        <item x="273"/>
        <item x="682"/>
        <item x="453"/>
        <item x="152"/>
        <item x="466"/>
        <item x="488"/>
        <item x="34"/>
        <item x="530"/>
        <item x="627"/>
        <item x="183"/>
        <item x="137"/>
        <item x="606"/>
        <item x="13"/>
        <item x="263"/>
        <item x="173"/>
        <item x="176"/>
        <item x="38"/>
        <item x="73"/>
        <item x="10"/>
        <item x="658"/>
        <item x="686"/>
        <item x="327"/>
        <item x="427"/>
        <item x="669"/>
        <item x="579"/>
        <item x="580"/>
        <item x="365"/>
        <item x="610"/>
        <item x="317"/>
        <item x="5"/>
        <item x="582"/>
        <item x="33"/>
        <item x="652"/>
        <item x="458"/>
        <item x="388"/>
        <item x="600"/>
        <item x="257"/>
        <item x="163"/>
        <item x="356"/>
        <item x="540"/>
        <item x="322"/>
        <item x="18"/>
        <item x="250"/>
        <item x="232"/>
        <item x="29"/>
        <item x="47"/>
        <item x="430"/>
        <item x="455"/>
        <item x="111"/>
        <item x="145"/>
        <item x="702"/>
        <item x="337"/>
        <item x="262"/>
        <item x="157"/>
        <item x="647"/>
        <item x="141"/>
        <item x="515"/>
        <item x="67"/>
        <item x="626"/>
        <item x="223"/>
        <item x="81"/>
        <item x="425"/>
        <item x="279"/>
        <item x="373"/>
        <item x="405"/>
        <item x="305"/>
        <item x="463"/>
        <item x="396"/>
        <item x="625"/>
        <item x="502"/>
        <item x="292"/>
        <item x="628"/>
        <item x="85"/>
        <item x="3"/>
        <item x="127"/>
        <item x="394"/>
        <item x="598"/>
        <item x="342"/>
        <item x="206"/>
        <item x="534"/>
        <item x="372"/>
        <item x="381"/>
        <item x="677"/>
        <item x="596"/>
        <item x="469"/>
        <item x="182"/>
        <item x="470"/>
        <item x="679"/>
        <item x="210"/>
        <item x="684"/>
        <item x="103"/>
        <item x="520"/>
        <item x="299"/>
        <item x="16"/>
        <item x="220"/>
        <item x="663"/>
        <item x="361"/>
        <item x="667"/>
        <item x="240"/>
        <item x="657"/>
        <item x="259"/>
        <item x="382"/>
        <item x="17"/>
        <item x="287"/>
        <item x="188"/>
        <item x="128"/>
        <item x="558"/>
        <item x="519"/>
        <item x="521"/>
        <item x="401"/>
        <item x="54"/>
        <item x="547"/>
        <item x="552"/>
        <item x="651"/>
        <item x="476"/>
        <item x="116"/>
        <item x="166"/>
        <item x="565"/>
        <item x="620"/>
        <item x="483"/>
        <item x="538"/>
        <item x="490"/>
        <item x="84"/>
        <item x="560"/>
        <item x="90"/>
        <item x="695"/>
        <item x="58"/>
        <item x="225"/>
        <item x="264"/>
        <item x="518"/>
        <item x="529"/>
        <item x="23"/>
        <item x="180"/>
        <item x="608"/>
        <item x="428"/>
        <item x="316"/>
        <item x="338"/>
        <item x="293"/>
        <item x="4"/>
        <item x="261"/>
        <item x="653"/>
        <item x="399"/>
        <item x="270"/>
        <item x="149"/>
        <item x="642"/>
        <item x="227"/>
        <item x="656"/>
        <item x="318"/>
        <item x="114"/>
        <item x="286"/>
        <item x="123"/>
        <item x="297"/>
        <item x="594"/>
        <item x="216"/>
        <item x="473"/>
        <item x="15"/>
        <item x="533"/>
        <item x="367"/>
        <item x="456"/>
        <item x="587"/>
        <item x="35"/>
        <item x="639"/>
        <item x="592"/>
        <item x="272"/>
        <item x="277"/>
        <item x="211"/>
        <item x="294"/>
        <item x="397"/>
        <item x="2"/>
        <item x="30"/>
        <item x="251"/>
        <item x="99"/>
        <item x="479"/>
        <item x="440"/>
        <item x="231"/>
        <item x="184"/>
        <item x="588"/>
        <item x="449"/>
        <item x="139"/>
        <item x="480"/>
        <item x="190"/>
        <item x="522"/>
        <item x="349"/>
        <item x="129"/>
        <item x="136"/>
        <item x="49"/>
        <item x="673"/>
        <item x="548"/>
        <item x="330"/>
        <item x="437"/>
        <item x="581"/>
        <item x="131"/>
        <item x="454"/>
        <item x="130"/>
        <item x="76"/>
        <item x="447"/>
        <item x="178"/>
        <item x="498"/>
        <item x="457"/>
        <item x="472"/>
        <item x="314"/>
        <item x="615"/>
        <item x="362"/>
        <item x="602"/>
        <item x="140"/>
        <item x="478"/>
        <item x="309"/>
        <item x="334"/>
        <item x="431"/>
        <item x="143"/>
        <item x="526"/>
        <item x="678"/>
        <item x="585"/>
        <item x="452"/>
        <item x="387"/>
        <item x="92"/>
        <item x="619"/>
        <item x="471"/>
        <item x="110"/>
        <item x="371"/>
        <item x="614"/>
        <item x="406"/>
        <item x="517"/>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6"/>
  </rowFields>
  <rowItems count="9">
    <i>
      <x/>
    </i>
    <i>
      <x v="1"/>
    </i>
    <i>
      <x v="2"/>
    </i>
    <i>
      <x v="3"/>
    </i>
    <i>
      <x v="4"/>
    </i>
    <i>
      <x v="5"/>
    </i>
    <i>
      <x v="6"/>
    </i>
    <i>
      <x v="7"/>
    </i>
    <i t="grand">
      <x/>
    </i>
  </rowItems>
  <colFields count="1">
    <field x="22"/>
  </colFields>
  <colItems count="3">
    <i>
      <x/>
    </i>
    <i>
      <x v="1"/>
    </i>
    <i t="grand">
      <x/>
    </i>
  </colItems>
  <dataFields count="1">
    <dataField name="Attrition by Department" fld="0" subtotal="count" baseField="0" baseItem="0"/>
  </dataFields>
  <formats count="1">
    <format dxfId="75">
      <pivotArea collapsedLevelsAreSubtotals="1" fieldPosition="0">
        <references count="1">
          <reference field="6" count="0"/>
        </references>
      </pivotArea>
    </format>
  </formats>
  <chartFormats count="2">
    <chartFormat chart="3" format="2" series="1">
      <pivotArea type="data" outline="0" fieldPosition="0">
        <references count="2">
          <reference field="4294967294" count="1" selected="0">
            <x v="0"/>
          </reference>
          <reference field="22" count="1" selected="0">
            <x v="1"/>
          </reference>
        </references>
      </pivotArea>
    </chartFormat>
    <chartFormat chart="3" format="3"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8CEC73-C1C5-4642-908F-6DE3D0358BFC}" name="Employees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Employees by Department">
  <location ref="A3:B12" firstHeaderRow="1" firstDataRow="1" firstDataCol="1"/>
  <pivotFields count="23">
    <pivotField dataField="1" showAll="0"/>
    <pivotField showAll="0"/>
    <pivotField showAll="0"/>
    <pivotField showAll="0">
      <items count="4">
        <item x="1"/>
        <item x="2"/>
        <item x="0"/>
        <item t="default"/>
      </items>
    </pivotField>
    <pivotField showAll="0"/>
    <pivotField showAll="0"/>
    <pivotField axis="axisRow" showAll="0">
      <items count="9">
        <item x="4"/>
        <item x="2"/>
        <item x="0"/>
        <item x="6"/>
        <item x="7"/>
        <item x="5"/>
        <item x="3"/>
        <item x="1"/>
        <item t="default"/>
      </items>
    </pivotField>
    <pivotField showAll="0"/>
    <pivotField showAll="0">
      <items count="4">
        <item x="1"/>
        <item x="0"/>
        <item x="2"/>
        <item t="default"/>
      </items>
    </pivotField>
    <pivotField showAll="0">
      <items count="705">
        <item x="544"/>
        <item x="303"/>
        <item x="21"/>
        <item x="51"/>
        <item x="484"/>
        <item x="578"/>
        <item x="332"/>
        <item x="513"/>
        <item x="664"/>
        <item x="352"/>
        <item x="694"/>
        <item x="386"/>
        <item x="119"/>
        <item x="468"/>
        <item x="307"/>
        <item x="71"/>
        <item x="312"/>
        <item x="164"/>
        <item x="363"/>
        <item x="247"/>
        <item x="83"/>
        <item x="107"/>
        <item x="584"/>
        <item x="700"/>
        <item x="561"/>
        <item x="252"/>
        <item x="607"/>
        <item x="69"/>
        <item x="126"/>
        <item x="121"/>
        <item x="441"/>
        <item x="500"/>
        <item x="226"/>
        <item x="568"/>
        <item x="426"/>
        <item x="66"/>
        <item x="243"/>
        <item x="354"/>
        <item x="174"/>
        <item x="429"/>
        <item x="443"/>
        <item x="142"/>
        <item x="572"/>
        <item x="12"/>
        <item x="599"/>
        <item x="61"/>
        <item x="385"/>
        <item x="202"/>
        <item x="177"/>
        <item x="246"/>
        <item x="310"/>
        <item x="666"/>
        <item x="9"/>
        <item x="102"/>
        <item x="491"/>
        <item x="234"/>
        <item x="91"/>
        <item x="98"/>
        <item x="633"/>
        <item x="224"/>
        <item x="467"/>
        <item x="434"/>
        <item x="94"/>
        <item x="112"/>
        <item x="335"/>
        <item x="120"/>
        <item x="229"/>
        <item x="323"/>
        <item x="553"/>
        <item x="617"/>
        <item x="489"/>
        <item x="511"/>
        <item x="151"/>
        <item x="528"/>
        <item x="298"/>
        <item x="171"/>
        <item x="435"/>
        <item x="108"/>
        <item x="635"/>
        <item x="113"/>
        <item x="688"/>
        <item x="254"/>
        <item x="25"/>
        <item x="301"/>
        <item x="209"/>
        <item x="495"/>
        <item x="649"/>
        <item x="26"/>
        <item x="442"/>
        <item x="622"/>
        <item x="551"/>
        <item x="616"/>
        <item x="20"/>
        <item x="350"/>
        <item x="253"/>
        <item x="676"/>
        <item x="304"/>
        <item x="604"/>
        <item x="611"/>
        <item x="674"/>
        <item x="280"/>
        <item x="331"/>
        <item x="68"/>
        <item x="320"/>
        <item x="44"/>
        <item x="11"/>
        <item x="624"/>
        <item x="325"/>
        <item x="75"/>
        <item x="138"/>
        <item x="477"/>
        <item x="675"/>
        <item x="417"/>
        <item x="88"/>
        <item x="302"/>
        <item x="634"/>
        <item x="52"/>
        <item x="204"/>
        <item x="605"/>
        <item x="557"/>
        <item x="563"/>
        <item x="105"/>
        <item x="170"/>
        <item x="284"/>
        <item x="487"/>
        <item x="306"/>
        <item x="146"/>
        <item x="424"/>
        <item x="248"/>
        <item x="283"/>
        <item x="343"/>
        <item x="275"/>
        <item x="404"/>
        <item x="571"/>
        <item x="516"/>
        <item x="106"/>
        <item x="32"/>
        <item x="62"/>
        <item x="324"/>
        <item x="683"/>
        <item x="357"/>
        <item x="543"/>
        <item x="78"/>
        <item x="562"/>
        <item x="403"/>
        <item x="402"/>
        <item x="497"/>
        <item x="662"/>
        <item x="379"/>
        <item x="194"/>
        <item x="197"/>
        <item x="514"/>
        <item x="8"/>
        <item x="690"/>
        <item x="321"/>
        <item x="564"/>
        <item x="239"/>
        <item x="221"/>
        <item x="506"/>
        <item x="219"/>
        <item x="213"/>
        <item x="150"/>
        <item x="448"/>
        <item x="222"/>
        <item x="412"/>
        <item x="613"/>
        <item x="380"/>
        <item x="648"/>
        <item x="439"/>
        <item x="556"/>
        <item x="186"/>
        <item x="575"/>
        <item x="40"/>
        <item x="60"/>
        <item x="291"/>
        <item x="300"/>
        <item x="80"/>
        <item x="168"/>
        <item x="668"/>
        <item x="618"/>
        <item x="691"/>
        <item x="418"/>
        <item x="451"/>
        <item x="465"/>
        <item x="158"/>
        <item x="218"/>
        <item x="637"/>
        <item x="576"/>
        <item x="27"/>
        <item x="198"/>
        <item x="358"/>
        <item x="55"/>
        <item x="601"/>
        <item x="376"/>
        <item x="645"/>
        <item x="566"/>
        <item x="43"/>
        <item x="416"/>
        <item x="636"/>
        <item x="238"/>
        <item x="433"/>
        <item x="87"/>
        <item x="375"/>
        <item x="348"/>
        <item x="384"/>
        <item x="368"/>
        <item x="340"/>
        <item x="697"/>
        <item x="535"/>
        <item x="512"/>
        <item x="496"/>
        <item x="531"/>
        <item x="640"/>
        <item x="205"/>
        <item x="100"/>
        <item x="192"/>
        <item x="567"/>
        <item x="24"/>
        <item x="193"/>
        <item x="181"/>
        <item x="460"/>
        <item x="296"/>
        <item x="31"/>
        <item x="450"/>
        <item x="609"/>
        <item x="86"/>
        <item x="7"/>
        <item x="282"/>
        <item x="689"/>
        <item x="650"/>
        <item x="93"/>
        <item x="319"/>
        <item x="89"/>
        <item x="508"/>
        <item x="693"/>
        <item x="258"/>
        <item x="546"/>
        <item x="241"/>
        <item x="459"/>
        <item x="570"/>
        <item x="179"/>
        <item x="308"/>
        <item x="215"/>
        <item x="482"/>
        <item x="525"/>
        <item x="117"/>
        <item x="462"/>
        <item x="537"/>
        <item x="603"/>
        <item x="341"/>
        <item x="366"/>
        <item x="159"/>
        <item x="255"/>
        <item x="701"/>
        <item x="536"/>
        <item x="586"/>
        <item x="345"/>
        <item x="256"/>
        <item x="422"/>
        <item x="542"/>
        <item x="77"/>
        <item x="70"/>
        <item x="510"/>
        <item x="125"/>
        <item x="289"/>
        <item x="492"/>
        <item x="389"/>
        <item x="14"/>
        <item x="504"/>
        <item x="370"/>
        <item x="1"/>
        <item x="589"/>
        <item x="630"/>
        <item x="423"/>
        <item x="539"/>
        <item x="347"/>
        <item x="494"/>
        <item x="104"/>
        <item x="56"/>
        <item x="53"/>
        <item x="503"/>
        <item x="195"/>
        <item x="196"/>
        <item x="161"/>
        <item x="82"/>
        <item x="643"/>
        <item x="191"/>
        <item x="631"/>
        <item x="278"/>
        <item x="290"/>
        <item x="438"/>
        <item x="237"/>
        <item x="623"/>
        <item x="421"/>
        <item x="235"/>
        <item x="172"/>
        <item x="285"/>
        <item x="346"/>
        <item x="274"/>
        <item x="493"/>
        <item x="72"/>
        <item x="574"/>
        <item x="336"/>
        <item x="228"/>
        <item x="153"/>
        <item x="475"/>
        <item x="485"/>
        <item x="207"/>
        <item x="249"/>
        <item x="391"/>
        <item x="244"/>
        <item x="175"/>
        <item x="74"/>
        <item x="245"/>
        <item x="39"/>
        <item x="315"/>
        <item x="169"/>
        <item x="505"/>
        <item x="413"/>
        <item x="271"/>
        <item x="19"/>
        <item x="155"/>
        <item x="266"/>
        <item x="124"/>
        <item x="680"/>
        <item x="383"/>
        <item x="230"/>
        <item x="65"/>
        <item x="329"/>
        <item x="167"/>
        <item x="281"/>
        <item x="583"/>
        <item x="499"/>
        <item x="344"/>
        <item x="681"/>
        <item x="654"/>
        <item x="644"/>
        <item x="165"/>
        <item x="96"/>
        <item x="115"/>
        <item x="79"/>
        <item x="671"/>
        <item x="214"/>
        <item x="559"/>
        <item x="63"/>
        <item x="50"/>
        <item x="147"/>
        <item x="360"/>
        <item x="638"/>
        <item x="22"/>
        <item x="555"/>
        <item x="199"/>
        <item x="267"/>
        <item x="597"/>
        <item x="419"/>
        <item x="134"/>
        <item x="612"/>
        <item x="217"/>
        <item x="187"/>
        <item x="144"/>
        <item x="233"/>
        <item x="444"/>
        <item x="661"/>
        <item x="591"/>
        <item x="212"/>
        <item x="339"/>
        <item x="665"/>
        <item x="699"/>
        <item x="0"/>
        <item x="632"/>
        <item x="436"/>
        <item x="410"/>
        <item x="655"/>
        <item x="333"/>
        <item x="532"/>
        <item x="95"/>
        <item x="64"/>
        <item x="148"/>
        <item x="414"/>
        <item x="200"/>
        <item x="415"/>
        <item x="573"/>
        <item x="461"/>
        <item x="703"/>
        <item x="48"/>
        <item x="154"/>
        <item x="6"/>
        <item x="135"/>
        <item x="541"/>
        <item x="692"/>
        <item x="265"/>
        <item x="550"/>
        <item x="57"/>
        <item x="203"/>
        <item x="37"/>
        <item x="432"/>
        <item x="464"/>
        <item x="392"/>
        <item x="408"/>
        <item x="593"/>
        <item x="268"/>
        <item x="395"/>
        <item x="685"/>
        <item x="549"/>
        <item x="398"/>
        <item x="45"/>
        <item x="378"/>
        <item x="236"/>
        <item x="46"/>
        <item x="28"/>
        <item x="118"/>
        <item x="400"/>
        <item x="660"/>
        <item x="590"/>
        <item x="501"/>
        <item x="577"/>
        <item x="101"/>
        <item x="672"/>
        <item x="132"/>
        <item x="288"/>
        <item x="524"/>
        <item x="351"/>
        <item x="646"/>
        <item x="409"/>
        <item x="364"/>
        <item x="509"/>
        <item x="326"/>
        <item x="393"/>
        <item x="41"/>
        <item x="554"/>
        <item x="446"/>
        <item x="407"/>
        <item x="527"/>
        <item x="109"/>
        <item x="355"/>
        <item x="696"/>
        <item x="185"/>
        <item x="481"/>
        <item x="59"/>
        <item x="507"/>
        <item x="445"/>
        <item x="411"/>
        <item x="353"/>
        <item x="276"/>
        <item x="189"/>
        <item x="621"/>
        <item x="122"/>
        <item x="156"/>
        <item x="545"/>
        <item x="377"/>
        <item x="242"/>
        <item x="670"/>
        <item x="97"/>
        <item x="269"/>
        <item x="36"/>
        <item x="313"/>
        <item x="311"/>
        <item x="369"/>
        <item x="390"/>
        <item x="659"/>
        <item x="474"/>
        <item x="641"/>
        <item x="687"/>
        <item x="698"/>
        <item x="523"/>
        <item x="595"/>
        <item x="160"/>
        <item x="162"/>
        <item x="328"/>
        <item x="359"/>
        <item x="420"/>
        <item x="295"/>
        <item x="42"/>
        <item x="486"/>
        <item x="260"/>
        <item x="201"/>
        <item x="133"/>
        <item x="629"/>
        <item x="208"/>
        <item x="569"/>
        <item x="374"/>
        <item x="273"/>
        <item x="682"/>
        <item x="453"/>
        <item x="152"/>
        <item x="466"/>
        <item x="488"/>
        <item x="34"/>
        <item x="530"/>
        <item x="627"/>
        <item x="183"/>
        <item x="137"/>
        <item x="606"/>
        <item x="13"/>
        <item x="263"/>
        <item x="173"/>
        <item x="176"/>
        <item x="38"/>
        <item x="73"/>
        <item x="10"/>
        <item x="658"/>
        <item x="686"/>
        <item x="327"/>
        <item x="427"/>
        <item x="669"/>
        <item x="579"/>
        <item x="580"/>
        <item x="365"/>
        <item x="610"/>
        <item x="317"/>
        <item x="5"/>
        <item x="582"/>
        <item x="33"/>
        <item x="652"/>
        <item x="458"/>
        <item x="388"/>
        <item x="600"/>
        <item x="257"/>
        <item x="163"/>
        <item x="356"/>
        <item x="540"/>
        <item x="322"/>
        <item x="18"/>
        <item x="250"/>
        <item x="232"/>
        <item x="29"/>
        <item x="47"/>
        <item x="430"/>
        <item x="455"/>
        <item x="111"/>
        <item x="145"/>
        <item x="702"/>
        <item x="337"/>
        <item x="262"/>
        <item x="157"/>
        <item x="647"/>
        <item x="141"/>
        <item x="515"/>
        <item x="67"/>
        <item x="626"/>
        <item x="223"/>
        <item x="81"/>
        <item x="425"/>
        <item x="279"/>
        <item x="373"/>
        <item x="405"/>
        <item x="305"/>
        <item x="463"/>
        <item x="396"/>
        <item x="625"/>
        <item x="502"/>
        <item x="292"/>
        <item x="628"/>
        <item x="85"/>
        <item x="3"/>
        <item x="127"/>
        <item x="394"/>
        <item x="598"/>
        <item x="342"/>
        <item x="206"/>
        <item x="534"/>
        <item x="372"/>
        <item x="381"/>
        <item x="677"/>
        <item x="596"/>
        <item x="469"/>
        <item x="182"/>
        <item x="470"/>
        <item x="679"/>
        <item x="210"/>
        <item x="684"/>
        <item x="103"/>
        <item x="520"/>
        <item x="299"/>
        <item x="16"/>
        <item x="220"/>
        <item x="663"/>
        <item x="361"/>
        <item x="667"/>
        <item x="240"/>
        <item x="657"/>
        <item x="259"/>
        <item x="382"/>
        <item x="17"/>
        <item x="287"/>
        <item x="188"/>
        <item x="128"/>
        <item x="558"/>
        <item x="519"/>
        <item x="521"/>
        <item x="401"/>
        <item x="54"/>
        <item x="547"/>
        <item x="552"/>
        <item x="651"/>
        <item x="476"/>
        <item x="116"/>
        <item x="166"/>
        <item x="565"/>
        <item x="620"/>
        <item x="483"/>
        <item x="538"/>
        <item x="490"/>
        <item x="84"/>
        <item x="560"/>
        <item x="90"/>
        <item x="695"/>
        <item x="58"/>
        <item x="225"/>
        <item x="264"/>
        <item x="518"/>
        <item x="529"/>
        <item x="23"/>
        <item x="180"/>
        <item x="608"/>
        <item x="428"/>
        <item x="316"/>
        <item x="338"/>
        <item x="293"/>
        <item x="4"/>
        <item x="261"/>
        <item x="653"/>
        <item x="399"/>
        <item x="270"/>
        <item x="149"/>
        <item x="642"/>
        <item x="227"/>
        <item x="656"/>
        <item x="318"/>
        <item x="114"/>
        <item x="286"/>
        <item x="123"/>
        <item x="297"/>
        <item x="594"/>
        <item x="216"/>
        <item x="473"/>
        <item x="15"/>
        <item x="533"/>
        <item x="367"/>
        <item x="456"/>
        <item x="587"/>
        <item x="35"/>
        <item x="639"/>
        <item x="592"/>
        <item x="272"/>
        <item x="277"/>
        <item x="211"/>
        <item x="294"/>
        <item x="397"/>
        <item x="2"/>
        <item x="30"/>
        <item x="251"/>
        <item x="99"/>
        <item x="479"/>
        <item x="440"/>
        <item x="231"/>
        <item x="184"/>
        <item x="588"/>
        <item x="449"/>
        <item x="139"/>
        <item x="480"/>
        <item x="190"/>
        <item x="522"/>
        <item x="349"/>
        <item x="129"/>
        <item x="136"/>
        <item x="49"/>
        <item x="673"/>
        <item x="548"/>
        <item x="330"/>
        <item x="437"/>
        <item x="581"/>
        <item x="131"/>
        <item x="454"/>
        <item x="130"/>
        <item x="76"/>
        <item x="447"/>
        <item x="178"/>
        <item x="498"/>
        <item x="457"/>
        <item x="472"/>
        <item x="314"/>
        <item x="615"/>
        <item x="362"/>
        <item x="602"/>
        <item x="140"/>
        <item x="478"/>
        <item x="309"/>
        <item x="334"/>
        <item x="431"/>
        <item x="143"/>
        <item x="526"/>
        <item x="678"/>
        <item x="585"/>
        <item x="452"/>
        <item x="387"/>
        <item x="92"/>
        <item x="619"/>
        <item x="471"/>
        <item x="110"/>
        <item x="371"/>
        <item x="614"/>
        <item x="406"/>
        <item x="517"/>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6"/>
  </rowFields>
  <rowItems count="9">
    <i>
      <x/>
    </i>
    <i>
      <x v="1"/>
    </i>
    <i>
      <x v="2"/>
    </i>
    <i>
      <x v="3"/>
    </i>
    <i>
      <x v="4"/>
    </i>
    <i>
      <x v="5"/>
    </i>
    <i>
      <x v="6"/>
    </i>
    <i>
      <x v="7"/>
    </i>
    <i t="grand">
      <x/>
    </i>
  </rowItems>
  <colItems count="1">
    <i/>
  </colItems>
  <dataFields count="1">
    <dataField name="Count of Employee_ID" fld="0" subtotal="count"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6EF2BB-E59F-480F-BF27-A0B6586A9F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Work-Life Balance Distribution">
  <location ref="K17:L20" firstHeaderRow="1" firstDataRow="1" firstDataCol="1"/>
  <pivotFields count="23">
    <pivotField dataField="1" showAll="0"/>
    <pivotField showAll="0"/>
    <pivotField showAll="0"/>
    <pivotField showAll="0">
      <items count="4">
        <item x="1"/>
        <item x="2"/>
        <item x="0"/>
        <item t="default"/>
      </items>
    </pivotField>
    <pivotField showAll="0"/>
    <pivotField showAll="0"/>
    <pivotField showAll="0">
      <items count="9">
        <item x="4"/>
        <item x="2"/>
        <item x="0"/>
        <item x="6"/>
        <item x="7"/>
        <item x="5"/>
        <item x="3"/>
        <item x="1"/>
        <item t="default"/>
      </items>
    </pivotField>
    <pivotField showAll="0"/>
    <pivotField showAll="0">
      <items count="4">
        <item x="1"/>
        <item x="0"/>
        <item x="2"/>
        <item t="default"/>
      </items>
    </pivotField>
    <pivotField showAll="0">
      <items count="705">
        <item x="544"/>
        <item x="303"/>
        <item x="21"/>
        <item x="51"/>
        <item x="484"/>
        <item x="578"/>
        <item x="332"/>
        <item x="513"/>
        <item x="664"/>
        <item x="352"/>
        <item x="694"/>
        <item x="386"/>
        <item x="119"/>
        <item x="468"/>
        <item x="307"/>
        <item x="71"/>
        <item x="312"/>
        <item x="164"/>
        <item x="363"/>
        <item x="247"/>
        <item x="83"/>
        <item x="107"/>
        <item x="584"/>
        <item x="700"/>
        <item x="561"/>
        <item x="252"/>
        <item x="607"/>
        <item x="69"/>
        <item x="126"/>
        <item x="121"/>
        <item x="441"/>
        <item x="500"/>
        <item x="226"/>
        <item x="568"/>
        <item x="426"/>
        <item x="66"/>
        <item x="243"/>
        <item x="354"/>
        <item x="174"/>
        <item x="429"/>
        <item x="443"/>
        <item x="142"/>
        <item x="572"/>
        <item x="12"/>
        <item x="599"/>
        <item x="61"/>
        <item x="385"/>
        <item x="202"/>
        <item x="177"/>
        <item x="246"/>
        <item x="310"/>
        <item x="666"/>
        <item x="9"/>
        <item x="102"/>
        <item x="491"/>
        <item x="234"/>
        <item x="91"/>
        <item x="98"/>
        <item x="633"/>
        <item x="224"/>
        <item x="467"/>
        <item x="434"/>
        <item x="94"/>
        <item x="112"/>
        <item x="335"/>
        <item x="120"/>
        <item x="229"/>
        <item x="323"/>
        <item x="553"/>
        <item x="617"/>
        <item x="489"/>
        <item x="511"/>
        <item x="151"/>
        <item x="528"/>
        <item x="298"/>
        <item x="171"/>
        <item x="435"/>
        <item x="108"/>
        <item x="635"/>
        <item x="113"/>
        <item x="688"/>
        <item x="254"/>
        <item x="25"/>
        <item x="301"/>
        <item x="209"/>
        <item x="495"/>
        <item x="649"/>
        <item x="26"/>
        <item x="442"/>
        <item x="622"/>
        <item x="551"/>
        <item x="616"/>
        <item x="20"/>
        <item x="350"/>
        <item x="253"/>
        <item x="676"/>
        <item x="304"/>
        <item x="604"/>
        <item x="611"/>
        <item x="674"/>
        <item x="280"/>
        <item x="331"/>
        <item x="68"/>
        <item x="320"/>
        <item x="44"/>
        <item x="11"/>
        <item x="624"/>
        <item x="325"/>
        <item x="75"/>
        <item x="138"/>
        <item x="477"/>
        <item x="675"/>
        <item x="417"/>
        <item x="88"/>
        <item x="302"/>
        <item x="634"/>
        <item x="52"/>
        <item x="204"/>
        <item x="605"/>
        <item x="557"/>
        <item x="563"/>
        <item x="105"/>
        <item x="170"/>
        <item x="284"/>
        <item x="487"/>
        <item x="306"/>
        <item x="146"/>
        <item x="424"/>
        <item x="248"/>
        <item x="283"/>
        <item x="343"/>
        <item x="275"/>
        <item x="404"/>
        <item x="571"/>
        <item x="516"/>
        <item x="106"/>
        <item x="32"/>
        <item x="62"/>
        <item x="324"/>
        <item x="683"/>
        <item x="357"/>
        <item x="543"/>
        <item x="78"/>
        <item x="562"/>
        <item x="403"/>
        <item x="402"/>
        <item x="497"/>
        <item x="662"/>
        <item x="379"/>
        <item x="194"/>
        <item x="197"/>
        <item x="514"/>
        <item x="8"/>
        <item x="690"/>
        <item x="321"/>
        <item x="564"/>
        <item x="239"/>
        <item x="221"/>
        <item x="506"/>
        <item x="219"/>
        <item x="213"/>
        <item x="150"/>
        <item x="448"/>
        <item x="222"/>
        <item x="412"/>
        <item x="613"/>
        <item x="380"/>
        <item x="648"/>
        <item x="439"/>
        <item x="556"/>
        <item x="186"/>
        <item x="575"/>
        <item x="40"/>
        <item x="60"/>
        <item x="291"/>
        <item x="300"/>
        <item x="80"/>
        <item x="168"/>
        <item x="668"/>
        <item x="618"/>
        <item x="691"/>
        <item x="418"/>
        <item x="451"/>
        <item x="465"/>
        <item x="158"/>
        <item x="218"/>
        <item x="637"/>
        <item x="576"/>
        <item x="27"/>
        <item x="198"/>
        <item x="358"/>
        <item x="55"/>
        <item x="601"/>
        <item x="376"/>
        <item x="645"/>
        <item x="566"/>
        <item x="43"/>
        <item x="416"/>
        <item x="636"/>
        <item x="238"/>
        <item x="433"/>
        <item x="87"/>
        <item x="375"/>
        <item x="348"/>
        <item x="384"/>
        <item x="368"/>
        <item x="340"/>
        <item x="697"/>
        <item x="535"/>
        <item x="512"/>
        <item x="496"/>
        <item x="531"/>
        <item x="640"/>
        <item x="205"/>
        <item x="100"/>
        <item x="192"/>
        <item x="567"/>
        <item x="24"/>
        <item x="193"/>
        <item x="181"/>
        <item x="460"/>
        <item x="296"/>
        <item x="31"/>
        <item x="450"/>
        <item x="609"/>
        <item x="86"/>
        <item x="7"/>
        <item x="282"/>
        <item x="689"/>
        <item x="650"/>
        <item x="93"/>
        <item x="319"/>
        <item x="89"/>
        <item x="508"/>
        <item x="693"/>
        <item x="258"/>
        <item x="546"/>
        <item x="241"/>
        <item x="459"/>
        <item x="570"/>
        <item x="179"/>
        <item x="308"/>
        <item x="215"/>
        <item x="482"/>
        <item x="525"/>
        <item x="117"/>
        <item x="462"/>
        <item x="537"/>
        <item x="603"/>
        <item x="341"/>
        <item x="366"/>
        <item x="159"/>
        <item x="255"/>
        <item x="701"/>
        <item x="536"/>
        <item x="586"/>
        <item x="345"/>
        <item x="256"/>
        <item x="422"/>
        <item x="542"/>
        <item x="77"/>
        <item x="70"/>
        <item x="510"/>
        <item x="125"/>
        <item x="289"/>
        <item x="492"/>
        <item x="389"/>
        <item x="14"/>
        <item x="504"/>
        <item x="370"/>
        <item x="1"/>
        <item x="589"/>
        <item x="630"/>
        <item x="423"/>
        <item x="539"/>
        <item x="347"/>
        <item x="494"/>
        <item x="104"/>
        <item x="56"/>
        <item x="53"/>
        <item x="503"/>
        <item x="195"/>
        <item x="196"/>
        <item x="161"/>
        <item x="82"/>
        <item x="643"/>
        <item x="191"/>
        <item x="631"/>
        <item x="278"/>
        <item x="290"/>
        <item x="438"/>
        <item x="237"/>
        <item x="623"/>
        <item x="421"/>
        <item x="235"/>
        <item x="172"/>
        <item x="285"/>
        <item x="346"/>
        <item x="274"/>
        <item x="493"/>
        <item x="72"/>
        <item x="574"/>
        <item x="336"/>
        <item x="228"/>
        <item x="153"/>
        <item x="475"/>
        <item x="485"/>
        <item x="207"/>
        <item x="249"/>
        <item x="391"/>
        <item x="244"/>
        <item x="175"/>
        <item x="74"/>
        <item x="245"/>
        <item x="39"/>
        <item x="315"/>
        <item x="169"/>
        <item x="505"/>
        <item x="413"/>
        <item x="271"/>
        <item x="19"/>
        <item x="155"/>
        <item x="266"/>
        <item x="124"/>
        <item x="680"/>
        <item x="383"/>
        <item x="230"/>
        <item x="65"/>
        <item x="329"/>
        <item x="167"/>
        <item x="281"/>
        <item x="583"/>
        <item x="499"/>
        <item x="344"/>
        <item x="681"/>
        <item x="654"/>
        <item x="644"/>
        <item x="165"/>
        <item x="96"/>
        <item x="115"/>
        <item x="79"/>
        <item x="671"/>
        <item x="214"/>
        <item x="559"/>
        <item x="63"/>
        <item x="50"/>
        <item x="147"/>
        <item x="360"/>
        <item x="638"/>
        <item x="22"/>
        <item x="555"/>
        <item x="199"/>
        <item x="267"/>
        <item x="597"/>
        <item x="419"/>
        <item x="134"/>
        <item x="612"/>
        <item x="217"/>
        <item x="187"/>
        <item x="144"/>
        <item x="233"/>
        <item x="444"/>
        <item x="661"/>
        <item x="591"/>
        <item x="212"/>
        <item x="339"/>
        <item x="665"/>
        <item x="699"/>
        <item x="0"/>
        <item x="632"/>
        <item x="436"/>
        <item x="410"/>
        <item x="655"/>
        <item x="333"/>
        <item x="532"/>
        <item x="95"/>
        <item x="64"/>
        <item x="148"/>
        <item x="414"/>
        <item x="200"/>
        <item x="415"/>
        <item x="573"/>
        <item x="461"/>
        <item x="703"/>
        <item x="48"/>
        <item x="154"/>
        <item x="6"/>
        <item x="135"/>
        <item x="541"/>
        <item x="692"/>
        <item x="265"/>
        <item x="550"/>
        <item x="57"/>
        <item x="203"/>
        <item x="37"/>
        <item x="432"/>
        <item x="464"/>
        <item x="392"/>
        <item x="408"/>
        <item x="593"/>
        <item x="268"/>
        <item x="395"/>
        <item x="685"/>
        <item x="549"/>
        <item x="398"/>
        <item x="45"/>
        <item x="378"/>
        <item x="236"/>
        <item x="46"/>
        <item x="28"/>
        <item x="118"/>
        <item x="400"/>
        <item x="660"/>
        <item x="590"/>
        <item x="501"/>
        <item x="577"/>
        <item x="101"/>
        <item x="672"/>
        <item x="132"/>
        <item x="288"/>
        <item x="524"/>
        <item x="351"/>
        <item x="646"/>
        <item x="409"/>
        <item x="364"/>
        <item x="509"/>
        <item x="326"/>
        <item x="393"/>
        <item x="41"/>
        <item x="554"/>
        <item x="446"/>
        <item x="407"/>
        <item x="527"/>
        <item x="109"/>
        <item x="355"/>
        <item x="696"/>
        <item x="185"/>
        <item x="481"/>
        <item x="59"/>
        <item x="507"/>
        <item x="445"/>
        <item x="411"/>
        <item x="353"/>
        <item x="276"/>
        <item x="189"/>
        <item x="621"/>
        <item x="122"/>
        <item x="156"/>
        <item x="545"/>
        <item x="377"/>
        <item x="242"/>
        <item x="670"/>
        <item x="97"/>
        <item x="269"/>
        <item x="36"/>
        <item x="313"/>
        <item x="311"/>
        <item x="369"/>
        <item x="390"/>
        <item x="659"/>
        <item x="474"/>
        <item x="641"/>
        <item x="687"/>
        <item x="698"/>
        <item x="523"/>
        <item x="595"/>
        <item x="160"/>
        <item x="162"/>
        <item x="328"/>
        <item x="359"/>
        <item x="420"/>
        <item x="295"/>
        <item x="42"/>
        <item x="486"/>
        <item x="260"/>
        <item x="201"/>
        <item x="133"/>
        <item x="629"/>
        <item x="208"/>
        <item x="569"/>
        <item x="374"/>
        <item x="273"/>
        <item x="682"/>
        <item x="453"/>
        <item x="152"/>
        <item x="466"/>
        <item x="488"/>
        <item x="34"/>
        <item x="530"/>
        <item x="627"/>
        <item x="183"/>
        <item x="137"/>
        <item x="606"/>
        <item x="13"/>
        <item x="263"/>
        <item x="173"/>
        <item x="176"/>
        <item x="38"/>
        <item x="73"/>
        <item x="10"/>
        <item x="658"/>
        <item x="686"/>
        <item x="327"/>
        <item x="427"/>
        <item x="669"/>
        <item x="579"/>
        <item x="580"/>
        <item x="365"/>
        <item x="610"/>
        <item x="317"/>
        <item x="5"/>
        <item x="582"/>
        <item x="33"/>
        <item x="652"/>
        <item x="458"/>
        <item x="388"/>
        <item x="600"/>
        <item x="257"/>
        <item x="163"/>
        <item x="356"/>
        <item x="540"/>
        <item x="322"/>
        <item x="18"/>
        <item x="250"/>
        <item x="232"/>
        <item x="29"/>
        <item x="47"/>
        <item x="430"/>
        <item x="455"/>
        <item x="111"/>
        <item x="145"/>
        <item x="702"/>
        <item x="337"/>
        <item x="262"/>
        <item x="157"/>
        <item x="647"/>
        <item x="141"/>
        <item x="515"/>
        <item x="67"/>
        <item x="626"/>
        <item x="223"/>
        <item x="81"/>
        <item x="425"/>
        <item x="279"/>
        <item x="373"/>
        <item x="405"/>
        <item x="305"/>
        <item x="463"/>
        <item x="396"/>
        <item x="625"/>
        <item x="502"/>
        <item x="292"/>
        <item x="628"/>
        <item x="85"/>
        <item x="3"/>
        <item x="127"/>
        <item x="394"/>
        <item x="598"/>
        <item x="342"/>
        <item x="206"/>
        <item x="534"/>
        <item x="372"/>
        <item x="381"/>
        <item x="677"/>
        <item x="596"/>
        <item x="469"/>
        <item x="182"/>
        <item x="470"/>
        <item x="679"/>
        <item x="210"/>
        <item x="684"/>
        <item x="103"/>
        <item x="520"/>
        <item x="299"/>
        <item x="16"/>
        <item x="220"/>
        <item x="663"/>
        <item x="361"/>
        <item x="667"/>
        <item x="240"/>
        <item x="657"/>
        <item x="259"/>
        <item x="382"/>
        <item x="17"/>
        <item x="287"/>
        <item x="188"/>
        <item x="128"/>
        <item x="558"/>
        <item x="519"/>
        <item x="521"/>
        <item x="401"/>
        <item x="54"/>
        <item x="547"/>
        <item x="552"/>
        <item x="651"/>
        <item x="476"/>
        <item x="116"/>
        <item x="166"/>
        <item x="565"/>
        <item x="620"/>
        <item x="483"/>
        <item x="538"/>
        <item x="490"/>
        <item x="84"/>
        <item x="560"/>
        <item x="90"/>
        <item x="695"/>
        <item x="58"/>
        <item x="225"/>
        <item x="264"/>
        <item x="518"/>
        <item x="529"/>
        <item x="23"/>
        <item x="180"/>
        <item x="608"/>
        <item x="428"/>
        <item x="316"/>
        <item x="338"/>
        <item x="293"/>
        <item x="4"/>
        <item x="261"/>
        <item x="653"/>
        <item x="399"/>
        <item x="270"/>
        <item x="149"/>
        <item x="642"/>
        <item x="227"/>
        <item x="656"/>
        <item x="318"/>
        <item x="114"/>
        <item x="286"/>
        <item x="123"/>
        <item x="297"/>
        <item x="594"/>
        <item x="216"/>
        <item x="473"/>
        <item x="15"/>
        <item x="533"/>
        <item x="367"/>
        <item x="456"/>
        <item x="587"/>
        <item x="35"/>
        <item x="639"/>
        <item x="592"/>
        <item x="272"/>
        <item x="277"/>
        <item x="211"/>
        <item x="294"/>
        <item x="397"/>
        <item x="2"/>
        <item x="30"/>
        <item x="251"/>
        <item x="99"/>
        <item x="479"/>
        <item x="440"/>
        <item x="231"/>
        <item x="184"/>
        <item x="588"/>
        <item x="449"/>
        <item x="139"/>
        <item x="480"/>
        <item x="190"/>
        <item x="522"/>
        <item x="349"/>
        <item x="129"/>
        <item x="136"/>
        <item x="49"/>
        <item x="673"/>
        <item x="548"/>
        <item x="330"/>
        <item x="437"/>
        <item x="581"/>
        <item x="131"/>
        <item x="454"/>
        <item x="130"/>
        <item x="76"/>
        <item x="447"/>
        <item x="178"/>
        <item x="498"/>
        <item x="457"/>
        <item x="472"/>
        <item x="314"/>
        <item x="615"/>
        <item x="362"/>
        <item x="602"/>
        <item x="140"/>
        <item x="478"/>
        <item x="309"/>
        <item x="334"/>
        <item x="431"/>
        <item x="143"/>
        <item x="526"/>
        <item x="678"/>
        <item x="585"/>
        <item x="452"/>
        <item x="387"/>
        <item x="92"/>
        <item x="619"/>
        <item x="471"/>
        <item x="110"/>
        <item x="371"/>
        <item x="614"/>
        <item x="406"/>
        <item x="517"/>
        <item t="default"/>
      </items>
    </pivotField>
    <pivotField showAll="0">
      <items count="5">
        <item x="3"/>
        <item x="1"/>
        <item x="0"/>
        <item x="2"/>
        <item t="default"/>
      </items>
    </pivotField>
    <pivotField showAll="0"/>
    <pivotField showAll="0"/>
    <pivotField showAll="0">
      <items count="5">
        <item x="3"/>
        <item x="1"/>
        <item x="2"/>
        <item x="0"/>
        <item t="default"/>
      </items>
    </pivotField>
    <pivotField showAll="0">
      <items count="6">
        <item x="1"/>
        <item x="0"/>
        <item x="3"/>
        <item x="4"/>
        <item x="2"/>
        <item t="default"/>
      </items>
    </pivotField>
    <pivotField showAll="0">
      <items count="6">
        <item x="1"/>
        <item x="3"/>
        <item x="4"/>
        <item x="2"/>
        <item x="0"/>
        <item t="default"/>
      </items>
    </pivotField>
    <pivotField showAll="0"/>
    <pivotField showAll="0"/>
    <pivotField showAll="0"/>
    <pivotField showAll="0"/>
    <pivotField showAll="0"/>
    <pivotField showAll="0"/>
    <pivotField axis="axisRow" showAll="0">
      <items count="3">
        <item x="0"/>
        <item x="1"/>
        <item t="default"/>
      </items>
    </pivotField>
  </pivotFields>
  <rowFields count="1">
    <field x="22"/>
  </rowFields>
  <rowItems count="3">
    <i>
      <x/>
    </i>
    <i>
      <x v="1"/>
    </i>
    <i t="grand">
      <x/>
    </i>
  </rowItems>
  <colItems count="1">
    <i/>
  </colItems>
  <dataFields count="1">
    <dataField name="Count of Employee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BE0767-A782-461E-81E3-94A404EEC6CC}" name="Employees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Employees by Gender">
  <location ref="D3:E7" firstHeaderRow="1" firstDataRow="1" firstDataCol="1"/>
  <pivotFields count="23">
    <pivotField dataField="1" showAll="0"/>
    <pivotField showAll="0"/>
    <pivotField showAll="0"/>
    <pivotField axis="axisRow" showAll="0">
      <items count="4">
        <item x="1"/>
        <item x="2"/>
        <item x="0"/>
        <item t="default"/>
      </items>
    </pivotField>
    <pivotField showAll="0"/>
    <pivotField showAll="0"/>
    <pivotField showAll="0">
      <items count="9">
        <item x="4"/>
        <item x="2"/>
        <item x="0"/>
        <item x="6"/>
        <item x="7"/>
        <item x="5"/>
        <item x="3"/>
        <item x="1"/>
        <item t="default"/>
      </items>
    </pivotField>
    <pivotField showAll="0"/>
    <pivotField showAll="0">
      <items count="4">
        <item x="1"/>
        <item x="0"/>
        <item x="2"/>
        <item t="default"/>
      </items>
    </pivotField>
    <pivotField showAll="0">
      <items count="705">
        <item x="544"/>
        <item x="303"/>
        <item x="21"/>
        <item x="51"/>
        <item x="484"/>
        <item x="578"/>
        <item x="332"/>
        <item x="513"/>
        <item x="664"/>
        <item x="352"/>
        <item x="694"/>
        <item x="386"/>
        <item x="119"/>
        <item x="468"/>
        <item x="307"/>
        <item x="71"/>
        <item x="312"/>
        <item x="164"/>
        <item x="363"/>
        <item x="247"/>
        <item x="83"/>
        <item x="107"/>
        <item x="584"/>
        <item x="700"/>
        <item x="561"/>
        <item x="252"/>
        <item x="607"/>
        <item x="69"/>
        <item x="126"/>
        <item x="121"/>
        <item x="441"/>
        <item x="500"/>
        <item x="226"/>
        <item x="568"/>
        <item x="426"/>
        <item x="66"/>
        <item x="243"/>
        <item x="354"/>
        <item x="174"/>
        <item x="429"/>
        <item x="443"/>
        <item x="142"/>
        <item x="572"/>
        <item x="12"/>
        <item x="599"/>
        <item x="61"/>
        <item x="385"/>
        <item x="202"/>
        <item x="177"/>
        <item x="246"/>
        <item x="310"/>
        <item x="666"/>
        <item x="9"/>
        <item x="102"/>
        <item x="491"/>
        <item x="234"/>
        <item x="91"/>
        <item x="98"/>
        <item x="633"/>
        <item x="224"/>
        <item x="467"/>
        <item x="434"/>
        <item x="94"/>
        <item x="112"/>
        <item x="335"/>
        <item x="120"/>
        <item x="229"/>
        <item x="323"/>
        <item x="553"/>
        <item x="617"/>
        <item x="489"/>
        <item x="511"/>
        <item x="151"/>
        <item x="528"/>
        <item x="298"/>
        <item x="171"/>
        <item x="435"/>
        <item x="108"/>
        <item x="635"/>
        <item x="113"/>
        <item x="688"/>
        <item x="254"/>
        <item x="25"/>
        <item x="301"/>
        <item x="209"/>
        <item x="495"/>
        <item x="649"/>
        <item x="26"/>
        <item x="442"/>
        <item x="622"/>
        <item x="551"/>
        <item x="616"/>
        <item x="20"/>
        <item x="350"/>
        <item x="253"/>
        <item x="676"/>
        <item x="304"/>
        <item x="604"/>
        <item x="611"/>
        <item x="674"/>
        <item x="280"/>
        <item x="331"/>
        <item x="68"/>
        <item x="320"/>
        <item x="44"/>
        <item x="11"/>
        <item x="624"/>
        <item x="325"/>
        <item x="75"/>
        <item x="138"/>
        <item x="477"/>
        <item x="675"/>
        <item x="417"/>
        <item x="88"/>
        <item x="302"/>
        <item x="634"/>
        <item x="52"/>
        <item x="204"/>
        <item x="605"/>
        <item x="557"/>
        <item x="563"/>
        <item x="105"/>
        <item x="170"/>
        <item x="284"/>
        <item x="487"/>
        <item x="306"/>
        <item x="146"/>
        <item x="424"/>
        <item x="248"/>
        <item x="283"/>
        <item x="343"/>
        <item x="275"/>
        <item x="404"/>
        <item x="571"/>
        <item x="516"/>
        <item x="106"/>
        <item x="32"/>
        <item x="62"/>
        <item x="324"/>
        <item x="683"/>
        <item x="357"/>
        <item x="543"/>
        <item x="78"/>
        <item x="562"/>
        <item x="403"/>
        <item x="402"/>
        <item x="497"/>
        <item x="662"/>
        <item x="379"/>
        <item x="194"/>
        <item x="197"/>
        <item x="514"/>
        <item x="8"/>
        <item x="690"/>
        <item x="321"/>
        <item x="564"/>
        <item x="239"/>
        <item x="221"/>
        <item x="506"/>
        <item x="219"/>
        <item x="213"/>
        <item x="150"/>
        <item x="448"/>
        <item x="222"/>
        <item x="412"/>
        <item x="613"/>
        <item x="380"/>
        <item x="648"/>
        <item x="439"/>
        <item x="556"/>
        <item x="186"/>
        <item x="575"/>
        <item x="40"/>
        <item x="60"/>
        <item x="291"/>
        <item x="300"/>
        <item x="80"/>
        <item x="168"/>
        <item x="668"/>
        <item x="618"/>
        <item x="691"/>
        <item x="418"/>
        <item x="451"/>
        <item x="465"/>
        <item x="158"/>
        <item x="218"/>
        <item x="637"/>
        <item x="576"/>
        <item x="27"/>
        <item x="198"/>
        <item x="358"/>
        <item x="55"/>
        <item x="601"/>
        <item x="376"/>
        <item x="645"/>
        <item x="566"/>
        <item x="43"/>
        <item x="416"/>
        <item x="636"/>
        <item x="238"/>
        <item x="433"/>
        <item x="87"/>
        <item x="375"/>
        <item x="348"/>
        <item x="384"/>
        <item x="368"/>
        <item x="340"/>
        <item x="697"/>
        <item x="535"/>
        <item x="512"/>
        <item x="496"/>
        <item x="531"/>
        <item x="640"/>
        <item x="205"/>
        <item x="100"/>
        <item x="192"/>
        <item x="567"/>
        <item x="24"/>
        <item x="193"/>
        <item x="181"/>
        <item x="460"/>
        <item x="296"/>
        <item x="31"/>
        <item x="450"/>
        <item x="609"/>
        <item x="86"/>
        <item x="7"/>
        <item x="282"/>
        <item x="689"/>
        <item x="650"/>
        <item x="93"/>
        <item x="319"/>
        <item x="89"/>
        <item x="508"/>
        <item x="693"/>
        <item x="258"/>
        <item x="546"/>
        <item x="241"/>
        <item x="459"/>
        <item x="570"/>
        <item x="179"/>
        <item x="308"/>
        <item x="215"/>
        <item x="482"/>
        <item x="525"/>
        <item x="117"/>
        <item x="462"/>
        <item x="537"/>
        <item x="603"/>
        <item x="341"/>
        <item x="366"/>
        <item x="159"/>
        <item x="255"/>
        <item x="701"/>
        <item x="536"/>
        <item x="586"/>
        <item x="345"/>
        <item x="256"/>
        <item x="422"/>
        <item x="542"/>
        <item x="77"/>
        <item x="70"/>
        <item x="510"/>
        <item x="125"/>
        <item x="289"/>
        <item x="492"/>
        <item x="389"/>
        <item x="14"/>
        <item x="504"/>
        <item x="370"/>
        <item x="1"/>
        <item x="589"/>
        <item x="630"/>
        <item x="423"/>
        <item x="539"/>
        <item x="347"/>
        <item x="494"/>
        <item x="104"/>
        <item x="56"/>
        <item x="53"/>
        <item x="503"/>
        <item x="195"/>
        <item x="196"/>
        <item x="161"/>
        <item x="82"/>
        <item x="643"/>
        <item x="191"/>
        <item x="631"/>
        <item x="278"/>
        <item x="290"/>
        <item x="438"/>
        <item x="237"/>
        <item x="623"/>
        <item x="421"/>
        <item x="235"/>
        <item x="172"/>
        <item x="285"/>
        <item x="346"/>
        <item x="274"/>
        <item x="493"/>
        <item x="72"/>
        <item x="574"/>
        <item x="336"/>
        <item x="228"/>
        <item x="153"/>
        <item x="475"/>
        <item x="485"/>
        <item x="207"/>
        <item x="249"/>
        <item x="391"/>
        <item x="244"/>
        <item x="175"/>
        <item x="74"/>
        <item x="245"/>
        <item x="39"/>
        <item x="315"/>
        <item x="169"/>
        <item x="505"/>
        <item x="413"/>
        <item x="271"/>
        <item x="19"/>
        <item x="155"/>
        <item x="266"/>
        <item x="124"/>
        <item x="680"/>
        <item x="383"/>
        <item x="230"/>
        <item x="65"/>
        <item x="329"/>
        <item x="167"/>
        <item x="281"/>
        <item x="583"/>
        <item x="499"/>
        <item x="344"/>
        <item x="681"/>
        <item x="654"/>
        <item x="644"/>
        <item x="165"/>
        <item x="96"/>
        <item x="115"/>
        <item x="79"/>
        <item x="671"/>
        <item x="214"/>
        <item x="559"/>
        <item x="63"/>
        <item x="50"/>
        <item x="147"/>
        <item x="360"/>
        <item x="638"/>
        <item x="22"/>
        <item x="555"/>
        <item x="199"/>
        <item x="267"/>
        <item x="597"/>
        <item x="419"/>
        <item x="134"/>
        <item x="612"/>
        <item x="217"/>
        <item x="187"/>
        <item x="144"/>
        <item x="233"/>
        <item x="444"/>
        <item x="661"/>
        <item x="591"/>
        <item x="212"/>
        <item x="339"/>
        <item x="665"/>
        <item x="699"/>
        <item x="0"/>
        <item x="632"/>
        <item x="436"/>
        <item x="410"/>
        <item x="655"/>
        <item x="333"/>
        <item x="532"/>
        <item x="95"/>
        <item x="64"/>
        <item x="148"/>
        <item x="414"/>
        <item x="200"/>
        <item x="415"/>
        <item x="573"/>
        <item x="461"/>
        <item x="703"/>
        <item x="48"/>
        <item x="154"/>
        <item x="6"/>
        <item x="135"/>
        <item x="541"/>
        <item x="692"/>
        <item x="265"/>
        <item x="550"/>
        <item x="57"/>
        <item x="203"/>
        <item x="37"/>
        <item x="432"/>
        <item x="464"/>
        <item x="392"/>
        <item x="408"/>
        <item x="593"/>
        <item x="268"/>
        <item x="395"/>
        <item x="685"/>
        <item x="549"/>
        <item x="398"/>
        <item x="45"/>
        <item x="378"/>
        <item x="236"/>
        <item x="46"/>
        <item x="28"/>
        <item x="118"/>
        <item x="400"/>
        <item x="660"/>
        <item x="590"/>
        <item x="501"/>
        <item x="577"/>
        <item x="101"/>
        <item x="672"/>
        <item x="132"/>
        <item x="288"/>
        <item x="524"/>
        <item x="351"/>
        <item x="646"/>
        <item x="409"/>
        <item x="364"/>
        <item x="509"/>
        <item x="326"/>
        <item x="393"/>
        <item x="41"/>
        <item x="554"/>
        <item x="446"/>
        <item x="407"/>
        <item x="527"/>
        <item x="109"/>
        <item x="355"/>
        <item x="696"/>
        <item x="185"/>
        <item x="481"/>
        <item x="59"/>
        <item x="507"/>
        <item x="445"/>
        <item x="411"/>
        <item x="353"/>
        <item x="276"/>
        <item x="189"/>
        <item x="621"/>
        <item x="122"/>
        <item x="156"/>
        <item x="545"/>
        <item x="377"/>
        <item x="242"/>
        <item x="670"/>
        <item x="97"/>
        <item x="269"/>
        <item x="36"/>
        <item x="313"/>
        <item x="311"/>
        <item x="369"/>
        <item x="390"/>
        <item x="659"/>
        <item x="474"/>
        <item x="641"/>
        <item x="687"/>
        <item x="698"/>
        <item x="523"/>
        <item x="595"/>
        <item x="160"/>
        <item x="162"/>
        <item x="328"/>
        <item x="359"/>
        <item x="420"/>
        <item x="295"/>
        <item x="42"/>
        <item x="486"/>
        <item x="260"/>
        <item x="201"/>
        <item x="133"/>
        <item x="629"/>
        <item x="208"/>
        <item x="569"/>
        <item x="374"/>
        <item x="273"/>
        <item x="682"/>
        <item x="453"/>
        <item x="152"/>
        <item x="466"/>
        <item x="488"/>
        <item x="34"/>
        <item x="530"/>
        <item x="627"/>
        <item x="183"/>
        <item x="137"/>
        <item x="606"/>
        <item x="13"/>
        <item x="263"/>
        <item x="173"/>
        <item x="176"/>
        <item x="38"/>
        <item x="73"/>
        <item x="10"/>
        <item x="658"/>
        <item x="686"/>
        <item x="327"/>
        <item x="427"/>
        <item x="669"/>
        <item x="579"/>
        <item x="580"/>
        <item x="365"/>
        <item x="610"/>
        <item x="317"/>
        <item x="5"/>
        <item x="582"/>
        <item x="33"/>
        <item x="652"/>
        <item x="458"/>
        <item x="388"/>
        <item x="600"/>
        <item x="257"/>
        <item x="163"/>
        <item x="356"/>
        <item x="540"/>
        <item x="322"/>
        <item x="18"/>
        <item x="250"/>
        <item x="232"/>
        <item x="29"/>
        <item x="47"/>
        <item x="430"/>
        <item x="455"/>
        <item x="111"/>
        <item x="145"/>
        <item x="702"/>
        <item x="337"/>
        <item x="262"/>
        <item x="157"/>
        <item x="647"/>
        <item x="141"/>
        <item x="515"/>
        <item x="67"/>
        <item x="626"/>
        <item x="223"/>
        <item x="81"/>
        <item x="425"/>
        <item x="279"/>
        <item x="373"/>
        <item x="405"/>
        <item x="305"/>
        <item x="463"/>
        <item x="396"/>
        <item x="625"/>
        <item x="502"/>
        <item x="292"/>
        <item x="628"/>
        <item x="85"/>
        <item x="3"/>
        <item x="127"/>
        <item x="394"/>
        <item x="598"/>
        <item x="342"/>
        <item x="206"/>
        <item x="534"/>
        <item x="372"/>
        <item x="381"/>
        <item x="677"/>
        <item x="596"/>
        <item x="469"/>
        <item x="182"/>
        <item x="470"/>
        <item x="679"/>
        <item x="210"/>
        <item x="684"/>
        <item x="103"/>
        <item x="520"/>
        <item x="299"/>
        <item x="16"/>
        <item x="220"/>
        <item x="663"/>
        <item x="361"/>
        <item x="667"/>
        <item x="240"/>
        <item x="657"/>
        <item x="259"/>
        <item x="382"/>
        <item x="17"/>
        <item x="287"/>
        <item x="188"/>
        <item x="128"/>
        <item x="558"/>
        <item x="519"/>
        <item x="521"/>
        <item x="401"/>
        <item x="54"/>
        <item x="547"/>
        <item x="552"/>
        <item x="651"/>
        <item x="476"/>
        <item x="116"/>
        <item x="166"/>
        <item x="565"/>
        <item x="620"/>
        <item x="483"/>
        <item x="538"/>
        <item x="490"/>
        <item x="84"/>
        <item x="560"/>
        <item x="90"/>
        <item x="695"/>
        <item x="58"/>
        <item x="225"/>
        <item x="264"/>
        <item x="518"/>
        <item x="529"/>
        <item x="23"/>
        <item x="180"/>
        <item x="608"/>
        <item x="428"/>
        <item x="316"/>
        <item x="338"/>
        <item x="293"/>
        <item x="4"/>
        <item x="261"/>
        <item x="653"/>
        <item x="399"/>
        <item x="270"/>
        <item x="149"/>
        <item x="642"/>
        <item x="227"/>
        <item x="656"/>
        <item x="318"/>
        <item x="114"/>
        <item x="286"/>
        <item x="123"/>
        <item x="297"/>
        <item x="594"/>
        <item x="216"/>
        <item x="473"/>
        <item x="15"/>
        <item x="533"/>
        <item x="367"/>
        <item x="456"/>
        <item x="587"/>
        <item x="35"/>
        <item x="639"/>
        <item x="592"/>
        <item x="272"/>
        <item x="277"/>
        <item x="211"/>
        <item x="294"/>
        <item x="397"/>
        <item x="2"/>
        <item x="30"/>
        <item x="251"/>
        <item x="99"/>
        <item x="479"/>
        <item x="440"/>
        <item x="231"/>
        <item x="184"/>
        <item x="588"/>
        <item x="449"/>
        <item x="139"/>
        <item x="480"/>
        <item x="190"/>
        <item x="522"/>
        <item x="349"/>
        <item x="129"/>
        <item x="136"/>
        <item x="49"/>
        <item x="673"/>
        <item x="548"/>
        <item x="330"/>
        <item x="437"/>
        <item x="581"/>
        <item x="131"/>
        <item x="454"/>
        <item x="130"/>
        <item x="76"/>
        <item x="447"/>
        <item x="178"/>
        <item x="498"/>
        <item x="457"/>
        <item x="472"/>
        <item x="314"/>
        <item x="615"/>
        <item x="362"/>
        <item x="602"/>
        <item x="140"/>
        <item x="478"/>
        <item x="309"/>
        <item x="334"/>
        <item x="431"/>
        <item x="143"/>
        <item x="526"/>
        <item x="678"/>
        <item x="585"/>
        <item x="452"/>
        <item x="387"/>
        <item x="92"/>
        <item x="619"/>
        <item x="471"/>
        <item x="110"/>
        <item x="371"/>
        <item x="614"/>
        <item x="406"/>
        <item x="517"/>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3"/>
  </rowFields>
  <rowItems count="4">
    <i>
      <x/>
    </i>
    <i>
      <x v="1"/>
    </i>
    <i>
      <x v="2"/>
    </i>
    <i t="grand">
      <x/>
    </i>
  </rowItems>
  <colItems count="1">
    <i/>
  </colItems>
  <dataFields count="1">
    <dataField name="Count of Employee_I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0FA97AC-5DF7-4E0F-98D6-24E769EC3FDC}" sourceName="Gender">
  <pivotTables>
    <pivotTable tabId="4" name="Attrition by Department"/>
    <pivotTable tabId="4" name="Attrition by Year"/>
    <pivotTable tabId="4" name="Average Bonus by Department"/>
    <pivotTable tabId="4" name="Average Salary by Department"/>
    <pivotTable tabId="4" name="Employees by Department"/>
    <pivotTable tabId="4" name="Employees by Gender"/>
    <pivotTable tabId="4" name="Job Satisfaction Distribution"/>
    <pivotTable tabId="4" name="PivotTable6"/>
    <pivotTable tabId="4" name="Work-Life Balance Distribution"/>
    <pivotTable tabId="4" name="PivotTable1"/>
  </pivotTables>
  <data>
    <tabular pivotCacheId="110108163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DADAAFF-049D-4E96-99EA-4870AD0D4C22}" sourceName="Department">
  <pivotTables>
    <pivotTable tabId="4" name="Attrition by Department"/>
    <pivotTable tabId="4" name="Attrition by Year"/>
    <pivotTable tabId="4" name="Average Bonus by Department"/>
    <pivotTable tabId="4" name="Average Salary by Department"/>
    <pivotTable tabId="4" name="Employees by Department"/>
    <pivotTable tabId="4" name="Employees by Gender"/>
    <pivotTable tabId="4" name="Job Satisfaction Distribution"/>
    <pivotTable tabId="4" name="PivotTable6"/>
    <pivotTable tabId="4" name="Work-Life Balance Distribution"/>
    <pivotTable tabId="4" name="PivotTable1"/>
  </pivotTables>
  <data>
    <tabular pivotCacheId="1101081630">
      <items count="8">
        <i x="4" s="1"/>
        <i x="2" s="1"/>
        <i x="0" s="1"/>
        <i x="6" s="1"/>
        <i x="7" s="1"/>
        <i x="5"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477271BB-3445-4ED7-8F11-4C06DE334541}" sourceName="Employment_Type">
  <pivotTables>
    <pivotTable tabId="4" name="Attrition by Department"/>
    <pivotTable tabId="4" name="Attrition by Year"/>
    <pivotTable tabId="4" name="Average Bonus by Department"/>
    <pivotTable tabId="4" name="Average Salary by Department"/>
    <pivotTable tabId="4" name="Employees by Department"/>
    <pivotTable tabId="4" name="Employees by Gender"/>
    <pivotTable tabId="4" name="Job Satisfaction Distribution"/>
    <pivotTable tabId="4" name="PivotTable6"/>
    <pivotTable tabId="4" name="Work-Life Balance Distribution"/>
    <pivotTable tabId="4" name="PivotTable1"/>
  </pivotTables>
  <data>
    <tabular pivotCacheId="110108163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59F9D08-D6D1-479D-916A-4135A583106B}" sourceName="Year">
  <pivotTables>
    <pivotTable tabId="4" name="Attrition by Department"/>
    <pivotTable tabId="4" name="Attrition by Year"/>
    <pivotTable tabId="4" name="Average Bonus by Department"/>
    <pivotTable tabId="4" name="Average Salary by Department"/>
    <pivotTable tabId="4" name="Employees by Department"/>
    <pivotTable tabId="4" name="Employees by Gender"/>
    <pivotTable tabId="4" name="Job Satisfaction Distribution"/>
    <pivotTable tabId="4" name="PivotTable6"/>
    <pivotTable tabId="4" name="Work-Life Balance Distribution"/>
    <pivotTable tabId="4" name="PivotTable1"/>
  </pivotTables>
  <data>
    <tabular pivotCacheId="1101081630">
      <items count="4">
        <i x="3"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6066F38C-0707-465C-A5F8-A710D87E5E08}" sourceName="Attrition">
  <pivotTables>
    <pivotTable tabId="4" name="Attrition by Department"/>
    <pivotTable tabId="4" name="Attrition by Year"/>
    <pivotTable tabId="4" name="Average Bonus by Department"/>
    <pivotTable tabId="4" name="Average Salary by Department"/>
    <pivotTable tabId="4" name="Employees by Department"/>
    <pivotTable tabId="4" name="Employees by Gender"/>
    <pivotTable tabId="4" name="Job Satisfaction Distribution"/>
    <pivotTable tabId="4" name="PivotTable6"/>
    <pivotTable tabId="4" name="Work-Life Balance Distribution"/>
    <pivotTable tabId="4" name="PivotTable1"/>
  </pivotTables>
  <data>
    <tabular pivotCacheId="110108163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BAED6BF-9A7B-46C3-A7A2-B1CBA4F79468}" cache="Slicer_Gender" caption="Gender" style="Slicer Style 1" rowHeight="576000"/>
  <slicer name="Department" xr10:uid="{FBE05473-1900-4E0E-A7EB-8321EDE7D792}" cache="Slicer_Department" caption="Department" style="Slicer Style 1" rowHeight="576000"/>
  <slicer name="Employment_Type" xr10:uid="{64A76362-DD67-4DC1-933C-A44710694374}" cache="Slicer_Employment_Type" caption="Employment_Type" style="Slicer Style 1" rowHeight="612000"/>
  <slicer name="Year" xr10:uid="{ADA36740-CF6E-4A75-B7C5-2814566E0668}" cache="Slicer_Year" caption="Year" columnCount="4" style="Slicer Style 1" rowHeight="612000"/>
  <slicer name="Attrition" xr10:uid="{651D3F11-CE6F-4BAF-A389-84D865B1DA98}" cache="Slicer_Attrition" caption="Attrition" style="Slicer Style 1" rowHeight="61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944640-8577-4601-AE27-074F8171B4CF}" name="Tab_101" displayName="Tab_101" ref="A1:W1001" totalsRowShown="0">
  <autoFilter ref="A1:W1001" xr:uid="{5C944640-8577-4601-AE27-074F8171B4CF}"/>
  <tableColumns count="23">
    <tableColumn id="1" xr3:uid="{D56B63D1-4B56-4EEB-8030-4EBF8067ACF0}" name="Employee_ID"/>
    <tableColumn id="24" xr3:uid="{D798C21D-537B-419E-B275-2EB64E1E07F6}" name="Full_Name" dataDxfId="77"/>
    <tableColumn id="4" xr3:uid="{D123CFB4-1848-4658-9335-EEB809EED486}" name="Age"/>
    <tableColumn id="5" xr3:uid="{FC5FB941-545A-45D3-BB36-FE4528F193D1}" name="Gender"/>
    <tableColumn id="6" xr3:uid="{319F3EE2-DAA9-43CD-9D7B-CC711AA932C5}" name="Education"/>
    <tableColumn id="7" xr3:uid="{98BF17E6-F84D-42D7-984E-9BA10423F683}" name="City"/>
    <tableColumn id="8" xr3:uid="{97B92128-ED02-49F3-AFCF-8D0F3285577A}" name="Department"/>
    <tableColumn id="9" xr3:uid="{26486E35-68BB-4AD8-8F65-4298DEA0D7D3}" name="Job_Role"/>
    <tableColumn id="10" xr3:uid="{888287EC-95CB-4ADA-BA27-292D6D839BF4}" name="Employment_Type"/>
    <tableColumn id="11" xr3:uid="{CB2CAB26-0DBA-4CF0-B8AC-5EDB9C8BD55F}" name="Join_Date"/>
    <tableColumn id="26" xr3:uid="{DBC058AD-3890-47A8-9D6D-CFBE74EF6F6A}" name="Year" dataDxfId="76"/>
    <tableColumn id="12" xr3:uid="{563A88C0-545C-4DEE-B266-E30DDE79442D}" name="Years_At_Company"/>
    <tableColumn id="13" xr3:uid="{BC71C288-03F5-4653-A789-551D9C1F4094}" name="Years_Experience"/>
    <tableColumn id="14" xr3:uid="{B9B48431-F149-4B66-B8BD-07041F32E53D}" name="Performance_Rating"/>
    <tableColumn id="15" xr3:uid="{8822776B-97CC-45BF-A71F-F1D555C93763}" name="Job_Satisfaction"/>
    <tableColumn id="16" xr3:uid="{7659A225-CA9E-4F5F-8539-7CAA243418EE}" name="Work_Life_Balance"/>
    <tableColumn id="17" xr3:uid="{A1B8B2A6-904B-4B37-848A-765765F845A3}" name="Overtime"/>
    <tableColumn id="18" xr3:uid="{20D8EAF9-A13A-4922-998A-AEAEB48E337A}" name="Leaves_Taken"/>
    <tableColumn id="19" xr3:uid="{8D21272A-F6B4-43A1-8633-B5604DE89807}" name="Training_Hours"/>
    <tableColumn id="20" xr3:uid="{9C279186-878C-4FCC-9832-5BFC3918A00B}" name="Salary"/>
    <tableColumn id="21" xr3:uid="{9E030435-FE3C-4FD4-9350-3B005CA0A6C6}" name="Bonus"/>
    <tableColumn id="22" xr3:uid="{2F909714-ED11-4F6F-98E2-4BCF66CAE19B}" name="Salary_Hike_%"/>
    <tableColumn id="23" xr3:uid="{B6CF158A-3BA1-4FA6-B840-FBB784119D2D}" name="Attrition"/>
  </tableColumns>
  <tableStyleInfo name="TableStyleMedium2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91BCA1-FB24-4C4B-B774-ADC6A176B28A}" name="Table2" displayName="Table2" ref="A3:W86" totalsRowShown="0">
  <autoFilter ref="A3:W86" xr:uid="{A091BCA1-FB24-4C4B-B774-ADC6A176B28A}"/>
  <tableColumns count="23">
    <tableColumn id="1" xr3:uid="{ADF649B8-B46D-4C11-9F68-D0AE9A0FB3F2}" name="Employee_ID"/>
    <tableColumn id="2" xr3:uid="{EEFC8091-94C1-4BDD-ACB7-B6DFC8D78339}" name="Full_Name"/>
    <tableColumn id="3" xr3:uid="{DF60C9D6-7765-47B7-9A4C-B9E8B4975FD6}" name="Age"/>
    <tableColumn id="4" xr3:uid="{CE0BAD86-D1FF-4E14-86C2-E58EB59A4CA4}" name="Gender"/>
    <tableColumn id="5" xr3:uid="{AC2C3C36-53BC-4B81-AD0B-CE95FDCDDD72}" name="Education"/>
    <tableColumn id="6" xr3:uid="{CC804F76-8B15-4119-AFE3-5F6DB7A6A349}" name="City"/>
    <tableColumn id="7" xr3:uid="{3B052F63-3109-4452-9822-2654437B23AF}" name="Department"/>
    <tableColumn id="8" xr3:uid="{7CB35DDA-C8F1-4D45-AEA2-11B0F05D7E12}" name="Job_Role"/>
    <tableColumn id="9" xr3:uid="{446A5227-C71D-4865-9D5B-8E255A33A7FA}" name="Employment_Type"/>
    <tableColumn id="10" xr3:uid="{16729D84-ED66-405C-AB37-2C5A34469274}" name="Join_Date"/>
    <tableColumn id="11" xr3:uid="{68D56FEB-8107-48E4-A572-C6EAF8AB17EA}" name="Year"/>
    <tableColumn id="12" xr3:uid="{751AEE55-772A-465D-9A70-347AB1B62D11}" name="Years_At_Company"/>
    <tableColumn id="13" xr3:uid="{A59BE1DA-EBF8-45A0-990B-E5B45C6BA4A8}" name="Years_Experience"/>
    <tableColumn id="14" xr3:uid="{AB124D7C-AD1F-4937-9EF3-2847F3F5A139}" name="Performance_Rating"/>
    <tableColumn id="15" xr3:uid="{3E32681C-B412-47AB-B529-94F0D1B74CD6}" name="Job_Satisfaction"/>
    <tableColumn id="16" xr3:uid="{AB051AAE-127D-42B5-8BEE-D3699301003C}" name="Work_Life_Balance"/>
    <tableColumn id="17" xr3:uid="{2C865CB4-ACC7-4A38-A509-FE4586D90233}" name="Overtime"/>
    <tableColumn id="18" xr3:uid="{7F979DCB-452B-454C-9FDC-54D8098F07D3}" name="Leaves_Taken"/>
    <tableColumn id="19" xr3:uid="{914B7CB1-3F41-45CB-876D-C0917C2DAEB5}" name="Training_Hours"/>
    <tableColumn id="20" xr3:uid="{38C8ED7A-6FC0-4FF7-BA37-008A63B113E9}" name="Salary"/>
    <tableColumn id="21" xr3:uid="{FE764B9B-56D7-41D4-81A9-0114BCC841EB}" name="Bonus"/>
    <tableColumn id="22" xr3:uid="{050B1192-BD2E-4EFE-9305-28A19A4F0B3B}" name="Salary_Hike_%"/>
    <tableColumn id="23" xr3:uid="{EFEC524A-7A55-45E6-8C0B-4EA99FD116DC}" name="Attri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1"/>
  <sheetViews>
    <sheetView showGridLines="0" topLeftCell="F1" zoomScale="79" zoomScaleNormal="145" workbookViewId="0">
      <pane ySplit="1" topLeftCell="A2" activePane="bottomLeft" state="frozen"/>
      <selection pane="bottomLeft" sqref="A1:W1"/>
    </sheetView>
  </sheetViews>
  <sheetFormatPr defaultRowHeight="14.4" x14ac:dyDescent="0.3"/>
  <cols>
    <col min="1" max="1" width="14" customWidth="1"/>
    <col min="2" max="2" width="19.109375" bestFit="1" customWidth="1"/>
    <col min="3" max="3" width="6.109375" customWidth="1"/>
    <col min="4" max="4" width="10.77734375" customWidth="1"/>
    <col min="5" max="5" width="11.33203125" customWidth="1"/>
    <col min="6" max="6" width="10.77734375" customWidth="1"/>
    <col min="7" max="7" width="15.77734375" customWidth="1"/>
    <col min="8" max="8" width="23.5546875" bestFit="1" customWidth="1"/>
    <col min="9" max="9" width="18.77734375" customWidth="1"/>
    <col min="10" max="11" width="11.109375" customWidth="1"/>
    <col min="12" max="12" width="19.33203125" customWidth="1"/>
    <col min="13" max="13" width="17.44140625" customWidth="1"/>
    <col min="14" max="14" width="20.109375" customWidth="1"/>
    <col min="15" max="15" width="16.5546875" customWidth="1"/>
    <col min="16" max="16" width="19" customWidth="1"/>
    <col min="17" max="17" width="10.6640625" customWidth="1"/>
    <col min="18" max="18" width="16" bestFit="1" customWidth="1"/>
    <col min="19" max="19" width="15.5546875" customWidth="1"/>
    <col min="20" max="20" width="8" customWidth="1"/>
    <col min="21" max="21" width="8.109375" customWidth="1"/>
    <col min="22" max="22" width="15.109375" customWidth="1"/>
    <col min="23" max="23" width="9.88671875" customWidth="1"/>
  </cols>
  <sheetData>
    <row r="1" spans="1:23" x14ac:dyDescent="0.3">
      <c r="A1" t="s">
        <v>0</v>
      </c>
      <c r="B1" t="s">
        <v>1797</v>
      </c>
      <c r="C1" t="s">
        <v>1</v>
      </c>
      <c r="D1" t="s">
        <v>2</v>
      </c>
      <c r="E1" t="s">
        <v>3</v>
      </c>
      <c r="F1" t="s">
        <v>4</v>
      </c>
      <c r="G1" t="s">
        <v>5</v>
      </c>
      <c r="H1" t="s">
        <v>6</v>
      </c>
      <c r="I1" t="s">
        <v>7</v>
      </c>
      <c r="J1" t="s">
        <v>8</v>
      </c>
      <c r="K1" t="s">
        <v>1794</v>
      </c>
      <c r="L1" t="s">
        <v>9</v>
      </c>
      <c r="M1" t="s">
        <v>10</v>
      </c>
      <c r="N1" t="s">
        <v>11</v>
      </c>
      <c r="O1" t="s">
        <v>12</v>
      </c>
      <c r="P1" t="s">
        <v>13</v>
      </c>
      <c r="Q1" t="s">
        <v>14</v>
      </c>
      <c r="R1" t="s">
        <v>15</v>
      </c>
      <c r="S1" t="s">
        <v>16</v>
      </c>
      <c r="T1" t="s">
        <v>17</v>
      </c>
      <c r="U1" t="s">
        <v>18</v>
      </c>
      <c r="V1" t="s">
        <v>19</v>
      </c>
      <c r="W1" t="s">
        <v>20</v>
      </c>
    </row>
    <row r="2" spans="1:23" x14ac:dyDescent="0.3">
      <c r="A2" t="s">
        <v>21</v>
      </c>
      <c r="B2" t="s">
        <v>1798</v>
      </c>
      <c r="C2">
        <v>34</v>
      </c>
      <c r="D2" t="s">
        <v>22</v>
      </c>
      <c r="E2" t="s">
        <v>23</v>
      </c>
      <c r="F2" t="s">
        <v>24</v>
      </c>
      <c r="G2" t="s">
        <v>25</v>
      </c>
      <c r="H2" t="s">
        <v>26</v>
      </c>
      <c r="I2" t="s">
        <v>27</v>
      </c>
      <c r="J2" t="s">
        <v>28</v>
      </c>
      <c r="K2">
        <v>2023</v>
      </c>
      <c r="L2">
        <v>1</v>
      </c>
      <c r="M2">
        <v>9</v>
      </c>
      <c r="N2" t="s">
        <v>29</v>
      </c>
      <c r="O2">
        <v>2</v>
      </c>
      <c r="P2">
        <v>5</v>
      </c>
      <c r="Q2" t="s">
        <v>30</v>
      </c>
      <c r="R2">
        <v>6</v>
      </c>
      <c r="S2">
        <v>8</v>
      </c>
      <c r="T2">
        <v>109014</v>
      </c>
      <c r="U2">
        <v>13900</v>
      </c>
      <c r="V2">
        <v>10.7</v>
      </c>
      <c r="W2" t="s">
        <v>31</v>
      </c>
    </row>
    <row r="3" spans="1:23" x14ac:dyDescent="0.3">
      <c r="A3" t="s">
        <v>32</v>
      </c>
      <c r="B3" t="s">
        <v>1799</v>
      </c>
      <c r="C3">
        <v>27</v>
      </c>
      <c r="D3" t="s">
        <v>33</v>
      </c>
      <c r="E3" t="s">
        <v>34</v>
      </c>
      <c r="F3" t="s">
        <v>35</v>
      </c>
      <c r="G3" t="s">
        <v>36</v>
      </c>
      <c r="H3" t="s">
        <v>37</v>
      </c>
      <c r="I3" t="s">
        <v>27</v>
      </c>
      <c r="J3" t="s">
        <v>38</v>
      </c>
      <c r="K3">
        <v>2022</v>
      </c>
      <c r="L3">
        <v>2</v>
      </c>
      <c r="M3">
        <v>5</v>
      </c>
      <c r="N3" t="s">
        <v>39</v>
      </c>
      <c r="O3">
        <v>2</v>
      </c>
      <c r="P3">
        <v>5</v>
      </c>
      <c r="Q3" t="s">
        <v>31</v>
      </c>
      <c r="R3">
        <v>10</v>
      </c>
      <c r="S3">
        <v>2</v>
      </c>
      <c r="T3">
        <v>54482</v>
      </c>
      <c r="U3">
        <v>1700</v>
      </c>
      <c r="V3">
        <v>12.6</v>
      </c>
      <c r="W3" t="s">
        <v>30</v>
      </c>
    </row>
    <row r="4" spans="1:23" x14ac:dyDescent="0.3">
      <c r="A4" t="s">
        <v>40</v>
      </c>
      <c r="B4" t="s">
        <v>1800</v>
      </c>
      <c r="C4">
        <v>32</v>
      </c>
      <c r="D4" t="s">
        <v>41</v>
      </c>
      <c r="E4" t="s">
        <v>34</v>
      </c>
      <c r="F4" t="s">
        <v>42</v>
      </c>
      <c r="G4" t="s">
        <v>43</v>
      </c>
      <c r="H4" t="s">
        <v>44</v>
      </c>
      <c r="I4" t="s">
        <v>27</v>
      </c>
      <c r="J4" t="s">
        <v>45</v>
      </c>
      <c r="K4">
        <v>2024</v>
      </c>
      <c r="L4">
        <v>0</v>
      </c>
      <c r="M4">
        <v>3</v>
      </c>
      <c r="N4" t="s">
        <v>29</v>
      </c>
      <c r="O4">
        <v>1</v>
      </c>
      <c r="P4">
        <v>1</v>
      </c>
      <c r="Q4" t="s">
        <v>30</v>
      </c>
      <c r="R4">
        <v>15</v>
      </c>
      <c r="S4">
        <v>51</v>
      </c>
      <c r="T4">
        <v>117453</v>
      </c>
      <c r="U4">
        <v>11900</v>
      </c>
      <c r="V4">
        <v>9</v>
      </c>
      <c r="W4" t="s">
        <v>31</v>
      </c>
    </row>
    <row r="5" spans="1:23" x14ac:dyDescent="0.3">
      <c r="A5" t="s">
        <v>46</v>
      </c>
      <c r="B5" t="s">
        <v>1801</v>
      </c>
      <c r="C5">
        <v>35</v>
      </c>
      <c r="D5" t="s">
        <v>33</v>
      </c>
      <c r="E5" t="s">
        <v>34</v>
      </c>
      <c r="F5" t="s">
        <v>47</v>
      </c>
      <c r="G5" t="s">
        <v>43</v>
      </c>
      <c r="H5" t="s">
        <v>48</v>
      </c>
      <c r="I5" t="s">
        <v>27</v>
      </c>
      <c r="J5" t="s">
        <v>49</v>
      </c>
      <c r="K5">
        <v>2024</v>
      </c>
      <c r="L5">
        <v>0</v>
      </c>
      <c r="M5">
        <v>11</v>
      </c>
      <c r="N5" t="s">
        <v>29</v>
      </c>
      <c r="O5">
        <v>5</v>
      </c>
      <c r="P5">
        <v>4</v>
      </c>
      <c r="Q5" t="s">
        <v>31</v>
      </c>
      <c r="R5">
        <v>3</v>
      </c>
      <c r="S5">
        <v>14</v>
      </c>
      <c r="T5">
        <v>106046</v>
      </c>
      <c r="U5">
        <v>13200</v>
      </c>
      <c r="V5">
        <v>11.5</v>
      </c>
      <c r="W5" t="s">
        <v>31</v>
      </c>
    </row>
    <row r="6" spans="1:23" x14ac:dyDescent="0.3">
      <c r="A6" t="s">
        <v>50</v>
      </c>
      <c r="B6" t="s">
        <v>1802</v>
      </c>
      <c r="C6">
        <v>43</v>
      </c>
      <c r="D6" t="s">
        <v>41</v>
      </c>
      <c r="E6" t="s">
        <v>34</v>
      </c>
      <c r="F6" t="s">
        <v>51</v>
      </c>
      <c r="G6" t="s">
        <v>52</v>
      </c>
      <c r="H6" t="s">
        <v>53</v>
      </c>
      <c r="I6" t="s">
        <v>27</v>
      </c>
      <c r="J6" t="s">
        <v>54</v>
      </c>
      <c r="K6">
        <v>2024</v>
      </c>
      <c r="L6">
        <v>0</v>
      </c>
      <c r="M6">
        <v>15</v>
      </c>
      <c r="N6" t="s">
        <v>29</v>
      </c>
      <c r="O6">
        <v>1</v>
      </c>
      <c r="P6">
        <v>1</v>
      </c>
      <c r="Q6" t="s">
        <v>31</v>
      </c>
      <c r="R6">
        <v>13</v>
      </c>
      <c r="S6">
        <v>12</v>
      </c>
      <c r="T6">
        <v>51231</v>
      </c>
      <c r="U6">
        <v>5700</v>
      </c>
      <c r="V6">
        <v>6.1</v>
      </c>
      <c r="W6" t="s">
        <v>31</v>
      </c>
    </row>
    <row r="7" spans="1:23" x14ac:dyDescent="0.3">
      <c r="A7" t="s">
        <v>55</v>
      </c>
      <c r="B7" t="s">
        <v>1803</v>
      </c>
      <c r="C7">
        <v>41</v>
      </c>
      <c r="D7" t="s">
        <v>33</v>
      </c>
      <c r="E7" t="s">
        <v>56</v>
      </c>
      <c r="F7" t="s">
        <v>57</v>
      </c>
      <c r="G7" t="s">
        <v>25</v>
      </c>
      <c r="H7" t="s">
        <v>58</v>
      </c>
      <c r="I7" t="s">
        <v>27</v>
      </c>
      <c r="J7" t="s">
        <v>59</v>
      </c>
      <c r="K7">
        <v>2023</v>
      </c>
      <c r="L7">
        <v>1</v>
      </c>
      <c r="M7">
        <v>14</v>
      </c>
      <c r="N7" t="s">
        <v>29</v>
      </c>
      <c r="O7">
        <v>2</v>
      </c>
      <c r="P7">
        <v>2</v>
      </c>
      <c r="Q7" t="s">
        <v>31</v>
      </c>
      <c r="R7">
        <v>21</v>
      </c>
      <c r="S7">
        <v>61</v>
      </c>
      <c r="T7">
        <v>104170</v>
      </c>
      <c r="U7">
        <v>14600</v>
      </c>
      <c r="V7">
        <v>3.6</v>
      </c>
      <c r="W7" t="s">
        <v>31</v>
      </c>
    </row>
    <row r="8" spans="1:23" x14ac:dyDescent="0.3">
      <c r="A8" t="s">
        <v>60</v>
      </c>
      <c r="B8" t="s">
        <v>1804</v>
      </c>
      <c r="C8">
        <v>34</v>
      </c>
      <c r="D8" t="s">
        <v>33</v>
      </c>
      <c r="E8" t="s">
        <v>61</v>
      </c>
      <c r="F8" t="s">
        <v>62</v>
      </c>
      <c r="G8" t="s">
        <v>63</v>
      </c>
      <c r="H8" t="s">
        <v>64</v>
      </c>
      <c r="I8" t="s">
        <v>65</v>
      </c>
      <c r="J8" t="s">
        <v>66</v>
      </c>
      <c r="K8">
        <v>2023</v>
      </c>
      <c r="L8">
        <v>1</v>
      </c>
      <c r="M8">
        <v>9</v>
      </c>
      <c r="N8" t="s">
        <v>29</v>
      </c>
      <c r="O8">
        <v>3</v>
      </c>
      <c r="P8">
        <v>1</v>
      </c>
      <c r="Q8" t="s">
        <v>31</v>
      </c>
      <c r="R8">
        <v>5</v>
      </c>
      <c r="S8">
        <v>34</v>
      </c>
      <c r="T8">
        <v>62694</v>
      </c>
      <c r="U8">
        <v>8300</v>
      </c>
      <c r="V8">
        <v>10.5</v>
      </c>
      <c r="W8" t="s">
        <v>31</v>
      </c>
    </row>
    <row r="9" spans="1:23" x14ac:dyDescent="0.3">
      <c r="A9" t="s">
        <v>67</v>
      </c>
      <c r="B9" t="s">
        <v>1805</v>
      </c>
      <c r="C9">
        <v>36</v>
      </c>
      <c r="D9" t="s">
        <v>33</v>
      </c>
      <c r="E9" t="s">
        <v>34</v>
      </c>
      <c r="F9" t="s">
        <v>35</v>
      </c>
      <c r="G9" t="s">
        <v>36</v>
      </c>
      <c r="H9" t="s">
        <v>68</v>
      </c>
      <c r="I9" t="s">
        <v>27</v>
      </c>
      <c r="J9" t="s">
        <v>69</v>
      </c>
      <c r="K9">
        <v>2022</v>
      </c>
      <c r="L9">
        <v>2</v>
      </c>
      <c r="M9">
        <v>13</v>
      </c>
      <c r="N9" t="s">
        <v>39</v>
      </c>
      <c r="O9">
        <v>3</v>
      </c>
      <c r="P9">
        <v>5</v>
      </c>
      <c r="Q9" t="s">
        <v>31</v>
      </c>
      <c r="R9">
        <v>19</v>
      </c>
      <c r="S9">
        <v>10</v>
      </c>
      <c r="T9">
        <v>86495</v>
      </c>
      <c r="U9">
        <v>2200</v>
      </c>
      <c r="V9">
        <v>9.4</v>
      </c>
      <c r="W9" t="s">
        <v>30</v>
      </c>
    </row>
    <row r="10" spans="1:23" x14ac:dyDescent="0.3">
      <c r="A10" t="s">
        <v>70</v>
      </c>
      <c r="B10" t="s">
        <v>1806</v>
      </c>
      <c r="C10">
        <v>38</v>
      </c>
      <c r="D10" t="s">
        <v>41</v>
      </c>
      <c r="E10" t="s">
        <v>71</v>
      </c>
      <c r="F10" t="s">
        <v>57</v>
      </c>
      <c r="G10" t="s">
        <v>43</v>
      </c>
      <c r="H10" t="s">
        <v>72</v>
      </c>
      <c r="I10" t="s">
        <v>27</v>
      </c>
      <c r="J10" t="s">
        <v>73</v>
      </c>
      <c r="K10">
        <v>2021</v>
      </c>
      <c r="L10">
        <v>3</v>
      </c>
      <c r="M10">
        <v>9</v>
      </c>
      <c r="N10" t="s">
        <v>29</v>
      </c>
      <c r="O10">
        <v>5</v>
      </c>
      <c r="P10">
        <v>4</v>
      </c>
      <c r="Q10" t="s">
        <v>31</v>
      </c>
      <c r="R10">
        <v>16</v>
      </c>
      <c r="S10">
        <v>39</v>
      </c>
      <c r="T10">
        <v>133656</v>
      </c>
      <c r="U10">
        <v>15500</v>
      </c>
      <c r="V10">
        <v>5.6</v>
      </c>
      <c r="W10" t="s">
        <v>31</v>
      </c>
    </row>
    <row r="11" spans="1:23" x14ac:dyDescent="0.3">
      <c r="A11" t="s">
        <v>74</v>
      </c>
      <c r="B11" t="s">
        <v>1807</v>
      </c>
      <c r="C11">
        <v>31</v>
      </c>
      <c r="D11" t="s">
        <v>41</v>
      </c>
      <c r="E11" t="s">
        <v>61</v>
      </c>
      <c r="F11" t="s">
        <v>75</v>
      </c>
      <c r="G11" t="s">
        <v>36</v>
      </c>
      <c r="H11" t="s">
        <v>76</v>
      </c>
      <c r="I11" t="s">
        <v>27</v>
      </c>
      <c r="J11" t="s">
        <v>77</v>
      </c>
      <c r="K11">
        <v>2021</v>
      </c>
      <c r="L11">
        <v>3</v>
      </c>
      <c r="M11">
        <v>7</v>
      </c>
      <c r="N11" t="s">
        <v>29</v>
      </c>
      <c r="O11">
        <v>3</v>
      </c>
      <c r="P11">
        <v>1</v>
      </c>
      <c r="Q11" t="s">
        <v>31</v>
      </c>
      <c r="R11">
        <v>12</v>
      </c>
      <c r="S11">
        <v>5</v>
      </c>
      <c r="T11">
        <v>63969</v>
      </c>
      <c r="U11">
        <v>6200</v>
      </c>
      <c r="V11">
        <v>12</v>
      </c>
      <c r="W11" t="s">
        <v>31</v>
      </c>
    </row>
    <row r="12" spans="1:23" x14ac:dyDescent="0.3">
      <c r="A12" t="s">
        <v>78</v>
      </c>
      <c r="B12" t="s">
        <v>1808</v>
      </c>
      <c r="C12">
        <v>47</v>
      </c>
      <c r="D12" t="s">
        <v>41</v>
      </c>
      <c r="E12" t="s">
        <v>71</v>
      </c>
      <c r="F12" t="s">
        <v>51</v>
      </c>
      <c r="G12" t="s">
        <v>43</v>
      </c>
      <c r="H12" t="s">
        <v>48</v>
      </c>
      <c r="I12" t="s">
        <v>79</v>
      </c>
      <c r="J12" t="s">
        <v>80</v>
      </c>
      <c r="K12">
        <v>2023</v>
      </c>
      <c r="L12">
        <v>1</v>
      </c>
      <c r="M12">
        <v>19</v>
      </c>
      <c r="N12" t="s">
        <v>29</v>
      </c>
      <c r="O12">
        <v>3</v>
      </c>
      <c r="P12">
        <v>1</v>
      </c>
      <c r="Q12" t="s">
        <v>31</v>
      </c>
      <c r="R12">
        <v>13</v>
      </c>
      <c r="S12">
        <v>13</v>
      </c>
      <c r="T12">
        <v>124747</v>
      </c>
      <c r="U12">
        <v>14400</v>
      </c>
      <c r="V12">
        <v>14.6</v>
      </c>
      <c r="W12" t="s">
        <v>31</v>
      </c>
    </row>
    <row r="13" spans="1:23" x14ac:dyDescent="0.3">
      <c r="A13" t="s">
        <v>81</v>
      </c>
      <c r="B13" t="s">
        <v>1809</v>
      </c>
      <c r="C13">
        <v>37</v>
      </c>
      <c r="D13" t="s">
        <v>41</v>
      </c>
      <c r="E13" t="s">
        <v>34</v>
      </c>
      <c r="F13" t="s">
        <v>24</v>
      </c>
      <c r="G13" t="s">
        <v>82</v>
      </c>
      <c r="H13" t="s">
        <v>83</v>
      </c>
      <c r="I13" t="s">
        <v>27</v>
      </c>
      <c r="J13" t="s">
        <v>84</v>
      </c>
      <c r="K13">
        <v>2021</v>
      </c>
      <c r="L13">
        <v>3</v>
      </c>
      <c r="M13">
        <v>10</v>
      </c>
      <c r="N13" t="s">
        <v>85</v>
      </c>
      <c r="O13">
        <v>2</v>
      </c>
      <c r="P13">
        <v>2</v>
      </c>
      <c r="Q13" t="s">
        <v>31</v>
      </c>
      <c r="R13">
        <v>3</v>
      </c>
      <c r="S13">
        <v>18</v>
      </c>
      <c r="T13">
        <v>56018</v>
      </c>
      <c r="U13">
        <v>11800</v>
      </c>
      <c r="V13">
        <v>9.4</v>
      </c>
      <c r="W13" t="s">
        <v>31</v>
      </c>
    </row>
    <row r="14" spans="1:23" x14ac:dyDescent="0.3">
      <c r="A14" t="s">
        <v>86</v>
      </c>
      <c r="B14" t="s">
        <v>1810</v>
      </c>
      <c r="C14">
        <v>45</v>
      </c>
      <c r="D14" t="s">
        <v>41</v>
      </c>
      <c r="E14" t="s">
        <v>61</v>
      </c>
      <c r="F14" t="s">
        <v>24</v>
      </c>
      <c r="G14" t="s">
        <v>36</v>
      </c>
      <c r="H14" t="s">
        <v>68</v>
      </c>
      <c r="I14" t="s">
        <v>79</v>
      </c>
      <c r="J14" t="s">
        <v>87</v>
      </c>
      <c r="K14">
        <v>2021</v>
      </c>
      <c r="L14">
        <v>3</v>
      </c>
      <c r="M14">
        <v>16</v>
      </c>
      <c r="N14" t="s">
        <v>29</v>
      </c>
      <c r="O14">
        <v>3</v>
      </c>
      <c r="P14">
        <v>2</v>
      </c>
      <c r="Q14" t="s">
        <v>31</v>
      </c>
      <c r="R14">
        <v>14</v>
      </c>
      <c r="S14">
        <v>8</v>
      </c>
      <c r="T14">
        <v>94799</v>
      </c>
      <c r="U14">
        <v>12200</v>
      </c>
      <c r="V14">
        <v>13.6</v>
      </c>
      <c r="W14" t="s">
        <v>31</v>
      </c>
    </row>
    <row r="15" spans="1:23" x14ac:dyDescent="0.3">
      <c r="A15" t="s">
        <v>88</v>
      </c>
      <c r="B15" t="s">
        <v>1811</v>
      </c>
      <c r="C15">
        <v>42</v>
      </c>
      <c r="D15" t="s">
        <v>41</v>
      </c>
      <c r="E15" t="s">
        <v>34</v>
      </c>
      <c r="F15" t="s">
        <v>57</v>
      </c>
      <c r="G15" t="s">
        <v>36</v>
      </c>
      <c r="H15" t="s">
        <v>89</v>
      </c>
      <c r="I15" t="s">
        <v>27</v>
      </c>
      <c r="J15" t="s">
        <v>90</v>
      </c>
      <c r="K15">
        <v>2023</v>
      </c>
      <c r="L15">
        <v>1</v>
      </c>
      <c r="M15">
        <v>12</v>
      </c>
      <c r="N15" t="s">
        <v>29</v>
      </c>
      <c r="O15">
        <v>5</v>
      </c>
      <c r="P15">
        <v>4</v>
      </c>
      <c r="Q15" t="s">
        <v>31</v>
      </c>
      <c r="R15">
        <v>14</v>
      </c>
      <c r="S15">
        <v>74</v>
      </c>
      <c r="T15">
        <v>75260</v>
      </c>
      <c r="U15">
        <v>7400</v>
      </c>
      <c r="V15">
        <v>13</v>
      </c>
      <c r="W15" t="s">
        <v>30</v>
      </c>
    </row>
    <row r="16" spans="1:23" x14ac:dyDescent="0.3">
      <c r="A16" t="s">
        <v>91</v>
      </c>
      <c r="B16" t="s">
        <v>1806</v>
      </c>
      <c r="C16">
        <v>46</v>
      </c>
      <c r="D16" t="s">
        <v>41</v>
      </c>
      <c r="E16" t="s">
        <v>34</v>
      </c>
      <c r="F16" t="s">
        <v>35</v>
      </c>
      <c r="G16" t="s">
        <v>25</v>
      </c>
      <c r="H16" t="s">
        <v>26</v>
      </c>
      <c r="I16" t="s">
        <v>27</v>
      </c>
      <c r="J16" t="s">
        <v>92</v>
      </c>
      <c r="K16">
        <v>2022</v>
      </c>
      <c r="L16">
        <v>2</v>
      </c>
      <c r="M16">
        <v>16</v>
      </c>
      <c r="N16" t="s">
        <v>29</v>
      </c>
      <c r="O16">
        <v>4</v>
      </c>
      <c r="P16">
        <v>4</v>
      </c>
      <c r="Q16" t="s">
        <v>30</v>
      </c>
      <c r="R16">
        <v>16</v>
      </c>
      <c r="S16">
        <v>66</v>
      </c>
      <c r="T16">
        <v>59054</v>
      </c>
      <c r="U16">
        <v>8000</v>
      </c>
      <c r="V16">
        <v>13</v>
      </c>
      <c r="W16" t="s">
        <v>31</v>
      </c>
    </row>
    <row r="17" spans="1:23" x14ac:dyDescent="0.3">
      <c r="A17" t="s">
        <v>93</v>
      </c>
      <c r="B17" t="s">
        <v>1812</v>
      </c>
      <c r="C17">
        <v>33</v>
      </c>
      <c r="D17" t="s">
        <v>41</v>
      </c>
      <c r="E17" t="s">
        <v>61</v>
      </c>
      <c r="F17" t="s">
        <v>62</v>
      </c>
      <c r="G17" t="s">
        <v>82</v>
      </c>
      <c r="H17" t="s">
        <v>83</v>
      </c>
      <c r="I17" t="s">
        <v>79</v>
      </c>
      <c r="J17" t="s">
        <v>94</v>
      </c>
      <c r="K17">
        <v>2024</v>
      </c>
      <c r="L17">
        <v>0</v>
      </c>
      <c r="M17">
        <v>11</v>
      </c>
      <c r="N17" t="s">
        <v>29</v>
      </c>
      <c r="O17">
        <v>3</v>
      </c>
      <c r="P17">
        <v>1</v>
      </c>
      <c r="Q17" t="s">
        <v>30</v>
      </c>
      <c r="R17">
        <v>18</v>
      </c>
      <c r="S17">
        <v>18</v>
      </c>
      <c r="T17">
        <v>87421</v>
      </c>
      <c r="U17">
        <v>9800</v>
      </c>
      <c r="V17">
        <v>9.6999999999999993</v>
      </c>
      <c r="W17" t="s">
        <v>31</v>
      </c>
    </row>
    <row r="18" spans="1:23" x14ac:dyDescent="0.3">
      <c r="A18" t="s">
        <v>95</v>
      </c>
      <c r="B18" t="s">
        <v>1813</v>
      </c>
      <c r="C18">
        <v>29</v>
      </c>
      <c r="D18" t="s">
        <v>41</v>
      </c>
      <c r="E18" t="s">
        <v>71</v>
      </c>
      <c r="F18" t="s">
        <v>42</v>
      </c>
      <c r="G18" t="s">
        <v>43</v>
      </c>
      <c r="H18" t="s">
        <v>96</v>
      </c>
      <c r="I18" t="s">
        <v>27</v>
      </c>
      <c r="J18" t="s">
        <v>97</v>
      </c>
      <c r="K18">
        <v>2024</v>
      </c>
      <c r="L18">
        <v>0</v>
      </c>
      <c r="M18">
        <v>3</v>
      </c>
      <c r="N18" t="s">
        <v>98</v>
      </c>
      <c r="O18">
        <v>4</v>
      </c>
      <c r="P18">
        <v>5</v>
      </c>
      <c r="Q18" t="s">
        <v>31</v>
      </c>
      <c r="R18">
        <v>11</v>
      </c>
      <c r="S18">
        <v>2</v>
      </c>
      <c r="T18">
        <v>113054</v>
      </c>
      <c r="U18">
        <v>8500</v>
      </c>
      <c r="V18">
        <v>12.9</v>
      </c>
      <c r="W18" t="s">
        <v>31</v>
      </c>
    </row>
    <row r="19" spans="1:23" x14ac:dyDescent="0.3">
      <c r="A19" t="s">
        <v>99</v>
      </c>
      <c r="B19" t="s">
        <v>1814</v>
      </c>
      <c r="C19">
        <v>29</v>
      </c>
      <c r="D19" t="s">
        <v>41</v>
      </c>
      <c r="E19" t="s">
        <v>34</v>
      </c>
      <c r="F19" t="s">
        <v>62</v>
      </c>
      <c r="G19" t="s">
        <v>100</v>
      </c>
      <c r="H19" t="s">
        <v>101</v>
      </c>
      <c r="I19" t="s">
        <v>27</v>
      </c>
      <c r="J19" t="s">
        <v>102</v>
      </c>
      <c r="K19">
        <v>2024</v>
      </c>
      <c r="L19">
        <v>0</v>
      </c>
      <c r="M19">
        <v>5</v>
      </c>
      <c r="N19" t="s">
        <v>29</v>
      </c>
      <c r="O19">
        <v>4</v>
      </c>
      <c r="P19">
        <v>2</v>
      </c>
      <c r="Q19" t="s">
        <v>31</v>
      </c>
      <c r="R19">
        <v>5</v>
      </c>
      <c r="S19">
        <v>23</v>
      </c>
      <c r="T19">
        <v>46628</v>
      </c>
      <c r="U19">
        <v>5700</v>
      </c>
      <c r="V19">
        <v>11.9</v>
      </c>
      <c r="W19" t="s">
        <v>31</v>
      </c>
    </row>
    <row r="20" spans="1:23" x14ac:dyDescent="0.3">
      <c r="A20" t="s">
        <v>103</v>
      </c>
      <c r="B20" t="s">
        <v>1815</v>
      </c>
      <c r="C20">
        <v>37</v>
      </c>
      <c r="D20" t="s">
        <v>33</v>
      </c>
      <c r="E20" t="s">
        <v>71</v>
      </c>
      <c r="F20" t="s">
        <v>75</v>
      </c>
      <c r="G20" t="s">
        <v>52</v>
      </c>
      <c r="H20" t="s">
        <v>53</v>
      </c>
      <c r="I20" t="s">
        <v>27</v>
      </c>
      <c r="J20" t="s">
        <v>104</v>
      </c>
      <c r="K20">
        <v>2023</v>
      </c>
      <c r="L20">
        <v>1</v>
      </c>
      <c r="M20">
        <v>8</v>
      </c>
      <c r="N20" t="s">
        <v>29</v>
      </c>
      <c r="O20">
        <v>5</v>
      </c>
      <c r="P20">
        <v>4</v>
      </c>
      <c r="Q20" t="s">
        <v>31</v>
      </c>
      <c r="R20">
        <v>14</v>
      </c>
      <c r="S20">
        <v>36</v>
      </c>
      <c r="T20">
        <v>74420</v>
      </c>
      <c r="U20">
        <v>8000</v>
      </c>
      <c r="V20">
        <v>14.6</v>
      </c>
      <c r="W20" t="s">
        <v>31</v>
      </c>
    </row>
    <row r="21" spans="1:23" x14ac:dyDescent="0.3">
      <c r="A21" t="s">
        <v>105</v>
      </c>
      <c r="B21" t="s">
        <v>1816</v>
      </c>
      <c r="C21">
        <v>31</v>
      </c>
      <c r="D21" t="s">
        <v>41</v>
      </c>
      <c r="E21" t="s">
        <v>71</v>
      </c>
      <c r="F21" t="s">
        <v>35</v>
      </c>
      <c r="G21" t="s">
        <v>36</v>
      </c>
      <c r="H21" t="s">
        <v>89</v>
      </c>
      <c r="I21" t="s">
        <v>27</v>
      </c>
      <c r="J21" t="s">
        <v>106</v>
      </c>
      <c r="K21">
        <v>2022</v>
      </c>
      <c r="L21">
        <v>2</v>
      </c>
      <c r="M21">
        <v>9</v>
      </c>
      <c r="N21" t="s">
        <v>29</v>
      </c>
      <c r="O21">
        <v>5</v>
      </c>
      <c r="P21">
        <v>2</v>
      </c>
      <c r="Q21" t="s">
        <v>30</v>
      </c>
      <c r="R21">
        <v>13</v>
      </c>
      <c r="S21">
        <v>11</v>
      </c>
      <c r="T21">
        <v>69327</v>
      </c>
      <c r="U21">
        <v>7000</v>
      </c>
      <c r="V21">
        <v>13.2</v>
      </c>
      <c r="W21" t="s">
        <v>31</v>
      </c>
    </row>
    <row r="22" spans="1:23" x14ac:dyDescent="0.3">
      <c r="A22" t="s">
        <v>107</v>
      </c>
      <c r="B22" t="s">
        <v>1817</v>
      </c>
      <c r="C22">
        <v>43</v>
      </c>
      <c r="D22" t="s">
        <v>33</v>
      </c>
      <c r="E22" t="s">
        <v>34</v>
      </c>
      <c r="F22" t="s">
        <v>35</v>
      </c>
      <c r="G22" t="s">
        <v>52</v>
      </c>
      <c r="H22" t="s">
        <v>53</v>
      </c>
      <c r="I22" t="s">
        <v>27</v>
      </c>
      <c r="J22" t="s">
        <v>108</v>
      </c>
      <c r="K22">
        <v>2021</v>
      </c>
      <c r="L22">
        <v>3</v>
      </c>
      <c r="M22">
        <v>13</v>
      </c>
      <c r="N22" t="s">
        <v>39</v>
      </c>
      <c r="O22">
        <v>3</v>
      </c>
      <c r="P22">
        <v>4</v>
      </c>
      <c r="Q22" t="s">
        <v>31</v>
      </c>
      <c r="R22">
        <v>22</v>
      </c>
      <c r="S22">
        <v>17</v>
      </c>
      <c r="T22">
        <v>70307</v>
      </c>
      <c r="U22">
        <v>2000</v>
      </c>
      <c r="V22">
        <v>3.3</v>
      </c>
      <c r="W22" t="s">
        <v>31</v>
      </c>
    </row>
    <row r="23" spans="1:23" x14ac:dyDescent="0.3">
      <c r="A23" t="s">
        <v>109</v>
      </c>
      <c r="B23" t="s">
        <v>1818</v>
      </c>
      <c r="C23">
        <v>31</v>
      </c>
      <c r="D23" t="s">
        <v>41</v>
      </c>
      <c r="E23" t="s">
        <v>71</v>
      </c>
      <c r="F23" t="s">
        <v>75</v>
      </c>
      <c r="G23" t="s">
        <v>25</v>
      </c>
      <c r="H23" t="s">
        <v>110</v>
      </c>
      <c r="I23" t="s">
        <v>27</v>
      </c>
      <c r="J23" t="s">
        <v>111</v>
      </c>
      <c r="K23">
        <v>2021</v>
      </c>
      <c r="L23">
        <v>3</v>
      </c>
      <c r="M23">
        <v>7</v>
      </c>
      <c r="N23" t="s">
        <v>29</v>
      </c>
      <c r="O23">
        <v>5</v>
      </c>
      <c r="P23">
        <v>4</v>
      </c>
      <c r="Q23" t="s">
        <v>30</v>
      </c>
      <c r="R23">
        <v>2</v>
      </c>
      <c r="S23">
        <v>14</v>
      </c>
      <c r="T23">
        <v>102660</v>
      </c>
      <c r="U23">
        <v>11900</v>
      </c>
      <c r="V23">
        <v>12.3</v>
      </c>
      <c r="W23" t="s">
        <v>31</v>
      </c>
    </row>
    <row r="24" spans="1:23" x14ac:dyDescent="0.3">
      <c r="A24" t="s">
        <v>112</v>
      </c>
      <c r="B24" t="s">
        <v>1819</v>
      </c>
      <c r="C24">
        <v>38</v>
      </c>
      <c r="D24" t="s">
        <v>33</v>
      </c>
      <c r="E24" t="s">
        <v>34</v>
      </c>
      <c r="F24" t="s">
        <v>57</v>
      </c>
      <c r="G24" t="s">
        <v>43</v>
      </c>
      <c r="H24" t="s">
        <v>48</v>
      </c>
      <c r="I24" t="s">
        <v>65</v>
      </c>
      <c r="J24" t="s">
        <v>113</v>
      </c>
      <c r="K24">
        <v>2022</v>
      </c>
      <c r="L24">
        <v>2</v>
      </c>
      <c r="M24">
        <v>10</v>
      </c>
      <c r="N24" t="s">
        <v>29</v>
      </c>
      <c r="O24">
        <v>5</v>
      </c>
      <c r="P24">
        <v>5</v>
      </c>
      <c r="Q24" t="s">
        <v>31</v>
      </c>
      <c r="R24">
        <v>16</v>
      </c>
      <c r="S24">
        <v>70</v>
      </c>
      <c r="T24">
        <v>116244</v>
      </c>
      <c r="U24">
        <v>13500</v>
      </c>
      <c r="V24">
        <v>11</v>
      </c>
      <c r="W24" t="s">
        <v>30</v>
      </c>
    </row>
    <row r="25" spans="1:23" x14ac:dyDescent="0.3">
      <c r="A25" t="s">
        <v>114</v>
      </c>
      <c r="B25" t="s">
        <v>1820</v>
      </c>
      <c r="C25">
        <v>28</v>
      </c>
      <c r="D25" t="s">
        <v>41</v>
      </c>
      <c r="E25" t="s">
        <v>61</v>
      </c>
      <c r="F25" t="s">
        <v>35</v>
      </c>
      <c r="G25" t="s">
        <v>36</v>
      </c>
      <c r="H25" t="s">
        <v>76</v>
      </c>
      <c r="I25" t="s">
        <v>27</v>
      </c>
      <c r="J25" t="s">
        <v>115</v>
      </c>
      <c r="K25">
        <v>2024</v>
      </c>
      <c r="L25">
        <v>0</v>
      </c>
      <c r="M25">
        <v>1</v>
      </c>
      <c r="N25" t="s">
        <v>29</v>
      </c>
      <c r="O25">
        <v>5</v>
      </c>
      <c r="P25">
        <v>3</v>
      </c>
      <c r="Q25" t="s">
        <v>31</v>
      </c>
      <c r="R25">
        <v>20</v>
      </c>
      <c r="S25">
        <v>22</v>
      </c>
      <c r="T25">
        <v>67596</v>
      </c>
      <c r="U25">
        <v>8600</v>
      </c>
      <c r="V25">
        <v>4.2</v>
      </c>
      <c r="W25" t="s">
        <v>31</v>
      </c>
    </row>
    <row r="26" spans="1:23" x14ac:dyDescent="0.3">
      <c r="A26" t="s">
        <v>116</v>
      </c>
      <c r="B26" t="s">
        <v>1821</v>
      </c>
      <c r="C26">
        <v>37</v>
      </c>
      <c r="D26" t="s">
        <v>22</v>
      </c>
      <c r="E26" t="s">
        <v>34</v>
      </c>
      <c r="F26" t="s">
        <v>42</v>
      </c>
      <c r="G26" t="s">
        <v>117</v>
      </c>
      <c r="H26" t="s">
        <v>118</v>
      </c>
      <c r="I26" t="s">
        <v>27</v>
      </c>
      <c r="J26" t="s">
        <v>119</v>
      </c>
      <c r="K26">
        <v>2022</v>
      </c>
      <c r="L26">
        <v>2</v>
      </c>
      <c r="M26">
        <v>15</v>
      </c>
      <c r="N26" t="s">
        <v>98</v>
      </c>
      <c r="O26">
        <v>1</v>
      </c>
      <c r="P26">
        <v>2</v>
      </c>
      <c r="Q26" t="s">
        <v>31</v>
      </c>
      <c r="R26">
        <v>9</v>
      </c>
      <c r="S26">
        <v>45</v>
      </c>
      <c r="T26">
        <v>57870</v>
      </c>
      <c r="U26">
        <v>4700</v>
      </c>
      <c r="V26">
        <v>6.8</v>
      </c>
      <c r="W26" t="s">
        <v>31</v>
      </c>
    </row>
    <row r="27" spans="1:23" x14ac:dyDescent="0.3">
      <c r="A27" t="s">
        <v>120</v>
      </c>
      <c r="B27" t="s">
        <v>1822</v>
      </c>
      <c r="C27">
        <v>42</v>
      </c>
      <c r="D27" t="s">
        <v>33</v>
      </c>
      <c r="E27" t="s">
        <v>56</v>
      </c>
      <c r="F27" t="s">
        <v>47</v>
      </c>
      <c r="G27" t="s">
        <v>43</v>
      </c>
      <c r="H27" t="s">
        <v>72</v>
      </c>
      <c r="I27" t="s">
        <v>79</v>
      </c>
      <c r="J27" t="s">
        <v>121</v>
      </c>
      <c r="K27">
        <v>2021</v>
      </c>
      <c r="L27">
        <v>3</v>
      </c>
      <c r="M27">
        <v>13</v>
      </c>
      <c r="N27" t="s">
        <v>29</v>
      </c>
      <c r="O27">
        <v>4</v>
      </c>
      <c r="P27">
        <v>1</v>
      </c>
      <c r="Q27" t="s">
        <v>31</v>
      </c>
      <c r="R27">
        <v>13</v>
      </c>
      <c r="S27">
        <v>77</v>
      </c>
      <c r="T27">
        <v>120678</v>
      </c>
      <c r="U27">
        <v>12700</v>
      </c>
      <c r="V27">
        <v>11.3</v>
      </c>
      <c r="W27" t="s">
        <v>31</v>
      </c>
    </row>
    <row r="28" spans="1:23" x14ac:dyDescent="0.3">
      <c r="A28" t="s">
        <v>122</v>
      </c>
      <c r="B28" t="s">
        <v>1823</v>
      </c>
      <c r="C28">
        <v>36</v>
      </c>
      <c r="D28" t="s">
        <v>33</v>
      </c>
      <c r="E28" t="s">
        <v>34</v>
      </c>
      <c r="F28" t="s">
        <v>24</v>
      </c>
      <c r="G28" t="s">
        <v>36</v>
      </c>
      <c r="H28" t="s">
        <v>37</v>
      </c>
      <c r="I28" t="s">
        <v>27</v>
      </c>
      <c r="J28" t="s">
        <v>123</v>
      </c>
      <c r="K28">
        <v>2021</v>
      </c>
      <c r="L28">
        <v>3</v>
      </c>
      <c r="M28">
        <v>10</v>
      </c>
      <c r="N28" t="s">
        <v>29</v>
      </c>
      <c r="O28">
        <v>4</v>
      </c>
      <c r="P28">
        <v>3</v>
      </c>
      <c r="Q28" t="s">
        <v>31</v>
      </c>
      <c r="R28">
        <v>20</v>
      </c>
      <c r="S28">
        <v>7</v>
      </c>
      <c r="T28">
        <v>92032</v>
      </c>
      <c r="U28">
        <v>11900</v>
      </c>
      <c r="V28">
        <v>7.2</v>
      </c>
      <c r="W28" t="s">
        <v>30</v>
      </c>
    </row>
    <row r="29" spans="1:23" x14ac:dyDescent="0.3">
      <c r="A29" t="s">
        <v>124</v>
      </c>
      <c r="B29" t="s">
        <v>1824</v>
      </c>
      <c r="C29">
        <v>49</v>
      </c>
      <c r="D29" t="s">
        <v>33</v>
      </c>
      <c r="E29" t="s">
        <v>34</v>
      </c>
      <c r="F29" t="s">
        <v>35</v>
      </c>
      <c r="G29" t="s">
        <v>36</v>
      </c>
      <c r="H29" t="s">
        <v>76</v>
      </c>
      <c r="I29" t="s">
        <v>27</v>
      </c>
      <c r="J29" t="s">
        <v>125</v>
      </c>
      <c r="K29">
        <v>2022</v>
      </c>
      <c r="L29">
        <v>2</v>
      </c>
      <c r="M29">
        <v>20</v>
      </c>
      <c r="N29" t="s">
        <v>29</v>
      </c>
      <c r="O29">
        <v>3</v>
      </c>
      <c r="P29">
        <v>3</v>
      </c>
      <c r="Q29" t="s">
        <v>30</v>
      </c>
      <c r="R29">
        <v>14</v>
      </c>
      <c r="S29">
        <v>9</v>
      </c>
      <c r="T29">
        <v>49406</v>
      </c>
      <c r="U29">
        <v>6300</v>
      </c>
      <c r="V29">
        <v>7.3</v>
      </c>
      <c r="W29" t="s">
        <v>31</v>
      </c>
    </row>
    <row r="30" spans="1:23" x14ac:dyDescent="0.3">
      <c r="A30" t="s">
        <v>126</v>
      </c>
      <c r="B30" t="s">
        <v>1824</v>
      </c>
      <c r="C30">
        <v>25</v>
      </c>
      <c r="D30" t="s">
        <v>33</v>
      </c>
      <c r="E30" t="s">
        <v>71</v>
      </c>
      <c r="F30" t="s">
        <v>51</v>
      </c>
      <c r="G30" t="s">
        <v>52</v>
      </c>
      <c r="H30" t="s">
        <v>53</v>
      </c>
      <c r="I30" t="s">
        <v>27</v>
      </c>
      <c r="J30" t="s">
        <v>127</v>
      </c>
      <c r="K30">
        <v>2023</v>
      </c>
      <c r="L30">
        <v>1</v>
      </c>
      <c r="M30">
        <v>1</v>
      </c>
      <c r="N30" t="s">
        <v>39</v>
      </c>
      <c r="O30">
        <v>2</v>
      </c>
      <c r="P30">
        <v>1</v>
      </c>
      <c r="Q30" t="s">
        <v>31</v>
      </c>
      <c r="R30">
        <v>14</v>
      </c>
      <c r="S30">
        <v>22</v>
      </c>
      <c r="T30">
        <v>70361</v>
      </c>
      <c r="U30">
        <v>1800</v>
      </c>
      <c r="V30">
        <v>12.3</v>
      </c>
      <c r="W30" t="s">
        <v>31</v>
      </c>
    </row>
    <row r="31" spans="1:23" x14ac:dyDescent="0.3">
      <c r="A31" t="s">
        <v>128</v>
      </c>
      <c r="B31" t="s">
        <v>1825</v>
      </c>
      <c r="C31">
        <v>48</v>
      </c>
      <c r="D31" t="s">
        <v>22</v>
      </c>
      <c r="E31" t="s">
        <v>34</v>
      </c>
      <c r="F31" t="s">
        <v>42</v>
      </c>
      <c r="G31" t="s">
        <v>100</v>
      </c>
      <c r="H31" t="s">
        <v>129</v>
      </c>
      <c r="I31" t="s">
        <v>27</v>
      </c>
      <c r="J31" t="s">
        <v>130</v>
      </c>
      <c r="K31">
        <v>2023</v>
      </c>
      <c r="L31">
        <v>1</v>
      </c>
      <c r="M31">
        <v>18</v>
      </c>
      <c r="N31" t="s">
        <v>98</v>
      </c>
      <c r="O31">
        <v>2</v>
      </c>
      <c r="P31">
        <v>2</v>
      </c>
      <c r="Q31" t="s">
        <v>31</v>
      </c>
      <c r="R31">
        <v>7</v>
      </c>
      <c r="S31">
        <v>63</v>
      </c>
      <c r="T31">
        <v>59657</v>
      </c>
      <c r="U31">
        <v>4500</v>
      </c>
      <c r="V31">
        <v>14.1</v>
      </c>
      <c r="W31" t="s">
        <v>31</v>
      </c>
    </row>
    <row r="32" spans="1:23" x14ac:dyDescent="0.3">
      <c r="A32" t="s">
        <v>131</v>
      </c>
      <c r="B32" t="s">
        <v>1826</v>
      </c>
      <c r="C32">
        <v>43</v>
      </c>
      <c r="D32" t="s">
        <v>41</v>
      </c>
      <c r="E32" t="s">
        <v>34</v>
      </c>
      <c r="F32" t="s">
        <v>24</v>
      </c>
      <c r="G32" t="s">
        <v>52</v>
      </c>
      <c r="H32" t="s">
        <v>132</v>
      </c>
      <c r="I32" t="s">
        <v>27</v>
      </c>
      <c r="J32" t="s">
        <v>133</v>
      </c>
      <c r="K32">
        <v>2024</v>
      </c>
      <c r="L32">
        <v>0</v>
      </c>
      <c r="M32">
        <v>20</v>
      </c>
      <c r="N32" t="s">
        <v>39</v>
      </c>
      <c r="O32">
        <v>4</v>
      </c>
      <c r="P32">
        <v>4</v>
      </c>
      <c r="Q32" t="s">
        <v>30</v>
      </c>
      <c r="R32">
        <v>21</v>
      </c>
      <c r="S32">
        <v>66</v>
      </c>
      <c r="T32">
        <v>71093</v>
      </c>
      <c r="U32">
        <v>2300</v>
      </c>
      <c r="V32">
        <v>9.3000000000000007</v>
      </c>
      <c r="W32" t="s">
        <v>31</v>
      </c>
    </row>
    <row r="33" spans="1:23" x14ac:dyDescent="0.3">
      <c r="A33" t="s">
        <v>134</v>
      </c>
      <c r="B33" t="s">
        <v>1827</v>
      </c>
      <c r="C33">
        <v>39</v>
      </c>
      <c r="D33" t="s">
        <v>41</v>
      </c>
      <c r="E33" t="s">
        <v>61</v>
      </c>
      <c r="F33" t="s">
        <v>42</v>
      </c>
      <c r="G33" t="s">
        <v>25</v>
      </c>
      <c r="H33" t="s">
        <v>58</v>
      </c>
      <c r="I33" t="s">
        <v>79</v>
      </c>
      <c r="J33" t="s">
        <v>135</v>
      </c>
      <c r="K33">
        <v>2022</v>
      </c>
      <c r="L33">
        <v>2</v>
      </c>
      <c r="M33">
        <v>17</v>
      </c>
      <c r="N33" t="s">
        <v>85</v>
      </c>
      <c r="O33">
        <v>1</v>
      </c>
      <c r="P33">
        <v>3</v>
      </c>
      <c r="Q33" t="s">
        <v>31</v>
      </c>
      <c r="R33">
        <v>6</v>
      </c>
      <c r="S33">
        <v>70</v>
      </c>
      <c r="T33">
        <v>88954</v>
      </c>
      <c r="U33">
        <v>15400</v>
      </c>
      <c r="V33">
        <v>6.9</v>
      </c>
      <c r="W33" t="s">
        <v>31</v>
      </c>
    </row>
    <row r="34" spans="1:23" x14ac:dyDescent="0.3">
      <c r="A34" t="s">
        <v>136</v>
      </c>
      <c r="B34" t="s">
        <v>1828</v>
      </c>
      <c r="C34">
        <v>30</v>
      </c>
      <c r="D34" t="s">
        <v>41</v>
      </c>
      <c r="E34" t="s">
        <v>34</v>
      </c>
      <c r="F34" t="s">
        <v>137</v>
      </c>
      <c r="G34" t="s">
        <v>82</v>
      </c>
      <c r="H34" t="s">
        <v>138</v>
      </c>
      <c r="I34" t="s">
        <v>27</v>
      </c>
      <c r="J34" t="s">
        <v>139</v>
      </c>
      <c r="K34">
        <v>2021</v>
      </c>
      <c r="L34">
        <v>3</v>
      </c>
      <c r="M34">
        <v>6</v>
      </c>
      <c r="N34" t="s">
        <v>98</v>
      </c>
      <c r="O34">
        <v>5</v>
      </c>
      <c r="P34">
        <v>3</v>
      </c>
      <c r="Q34" t="s">
        <v>31</v>
      </c>
      <c r="R34">
        <v>20</v>
      </c>
      <c r="S34">
        <v>26</v>
      </c>
      <c r="T34">
        <v>85925</v>
      </c>
      <c r="U34">
        <v>6300</v>
      </c>
      <c r="V34">
        <v>13.1</v>
      </c>
      <c r="W34" t="s">
        <v>31</v>
      </c>
    </row>
    <row r="35" spans="1:23" x14ac:dyDescent="0.3">
      <c r="A35" t="s">
        <v>140</v>
      </c>
      <c r="B35" t="s">
        <v>1829</v>
      </c>
      <c r="C35">
        <v>41</v>
      </c>
      <c r="D35" t="s">
        <v>33</v>
      </c>
      <c r="E35" t="s">
        <v>61</v>
      </c>
      <c r="F35" t="s">
        <v>51</v>
      </c>
      <c r="G35" t="s">
        <v>117</v>
      </c>
      <c r="H35" t="s">
        <v>118</v>
      </c>
      <c r="I35" t="s">
        <v>27</v>
      </c>
      <c r="J35" t="s">
        <v>141</v>
      </c>
      <c r="K35">
        <v>2023</v>
      </c>
      <c r="L35">
        <v>1</v>
      </c>
      <c r="M35">
        <v>16</v>
      </c>
      <c r="N35" t="s">
        <v>29</v>
      </c>
      <c r="O35">
        <v>5</v>
      </c>
      <c r="P35">
        <v>2</v>
      </c>
      <c r="Q35" t="s">
        <v>31</v>
      </c>
      <c r="R35">
        <v>10</v>
      </c>
      <c r="S35">
        <v>40</v>
      </c>
      <c r="T35">
        <v>99891</v>
      </c>
      <c r="U35">
        <v>11800</v>
      </c>
      <c r="V35">
        <v>11.3</v>
      </c>
      <c r="W35" t="s">
        <v>31</v>
      </c>
    </row>
    <row r="36" spans="1:23" x14ac:dyDescent="0.3">
      <c r="A36" t="s">
        <v>142</v>
      </c>
      <c r="B36" t="s">
        <v>1830</v>
      </c>
      <c r="C36">
        <v>31</v>
      </c>
      <c r="D36" t="s">
        <v>22</v>
      </c>
      <c r="E36" t="s">
        <v>34</v>
      </c>
      <c r="F36" t="s">
        <v>62</v>
      </c>
      <c r="G36" t="s">
        <v>43</v>
      </c>
      <c r="H36" t="s">
        <v>96</v>
      </c>
      <c r="I36" t="s">
        <v>27</v>
      </c>
      <c r="J36" t="s">
        <v>143</v>
      </c>
      <c r="K36">
        <v>2023</v>
      </c>
      <c r="L36">
        <v>1</v>
      </c>
      <c r="M36">
        <v>4</v>
      </c>
      <c r="N36" t="s">
        <v>29</v>
      </c>
      <c r="O36">
        <v>2</v>
      </c>
      <c r="P36">
        <v>3</v>
      </c>
      <c r="Q36" t="s">
        <v>31</v>
      </c>
      <c r="R36">
        <v>18</v>
      </c>
      <c r="S36">
        <v>40</v>
      </c>
      <c r="T36">
        <v>86059</v>
      </c>
      <c r="U36">
        <v>9300</v>
      </c>
      <c r="V36">
        <v>4.2</v>
      </c>
      <c r="W36" t="s">
        <v>31</v>
      </c>
    </row>
    <row r="37" spans="1:23" x14ac:dyDescent="0.3">
      <c r="A37" t="s">
        <v>144</v>
      </c>
      <c r="B37" t="s">
        <v>1831</v>
      </c>
      <c r="C37">
        <v>38</v>
      </c>
      <c r="D37" t="s">
        <v>33</v>
      </c>
      <c r="E37" t="s">
        <v>34</v>
      </c>
      <c r="F37" t="s">
        <v>51</v>
      </c>
      <c r="G37" t="s">
        <v>100</v>
      </c>
      <c r="H37" t="s">
        <v>145</v>
      </c>
      <c r="I37" t="s">
        <v>27</v>
      </c>
      <c r="J37" t="s">
        <v>146</v>
      </c>
      <c r="K37">
        <v>2024</v>
      </c>
      <c r="L37">
        <v>0</v>
      </c>
      <c r="M37">
        <v>16</v>
      </c>
      <c r="N37" t="s">
        <v>29</v>
      </c>
      <c r="O37">
        <v>4</v>
      </c>
      <c r="P37">
        <v>3</v>
      </c>
      <c r="Q37" t="s">
        <v>30</v>
      </c>
      <c r="R37">
        <v>17</v>
      </c>
      <c r="S37">
        <v>1</v>
      </c>
      <c r="T37">
        <v>65771</v>
      </c>
      <c r="U37">
        <v>9400</v>
      </c>
      <c r="V37">
        <v>5.6</v>
      </c>
      <c r="W37" t="s">
        <v>31</v>
      </c>
    </row>
    <row r="38" spans="1:23" x14ac:dyDescent="0.3">
      <c r="A38" t="s">
        <v>147</v>
      </c>
      <c r="B38" t="s">
        <v>1812</v>
      </c>
      <c r="C38">
        <v>30</v>
      </c>
      <c r="D38" t="s">
        <v>41</v>
      </c>
      <c r="E38" t="s">
        <v>34</v>
      </c>
      <c r="F38" t="s">
        <v>47</v>
      </c>
      <c r="G38" t="s">
        <v>52</v>
      </c>
      <c r="H38" t="s">
        <v>132</v>
      </c>
      <c r="I38" t="s">
        <v>79</v>
      </c>
      <c r="J38" t="s">
        <v>148</v>
      </c>
      <c r="K38">
        <v>2023</v>
      </c>
      <c r="L38">
        <v>1</v>
      </c>
      <c r="M38">
        <v>2</v>
      </c>
      <c r="N38" t="s">
        <v>85</v>
      </c>
      <c r="O38">
        <v>5</v>
      </c>
      <c r="P38">
        <v>5</v>
      </c>
      <c r="Q38" t="s">
        <v>31</v>
      </c>
      <c r="R38">
        <v>3</v>
      </c>
      <c r="S38">
        <v>16</v>
      </c>
      <c r="T38">
        <v>81819</v>
      </c>
      <c r="U38">
        <v>16700</v>
      </c>
      <c r="V38">
        <v>3.9</v>
      </c>
      <c r="W38" t="s">
        <v>31</v>
      </c>
    </row>
    <row r="39" spans="1:23" x14ac:dyDescent="0.3">
      <c r="A39" t="s">
        <v>149</v>
      </c>
      <c r="B39" t="s">
        <v>1832</v>
      </c>
      <c r="C39">
        <v>50</v>
      </c>
      <c r="D39" t="s">
        <v>41</v>
      </c>
      <c r="E39" t="s">
        <v>34</v>
      </c>
      <c r="F39" t="s">
        <v>62</v>
      </c>
      <c r="G39" t="s">
        <v>100</v>
      </c>
      <c r="H39" t="s">
        <v>150</v>
      </c>
      <c r="I39" t="s">
        <v>79</v>
      </c>
      <c r="J39" t="s">
        <v>151</v>
      </c>
      <c r="K39">
        <v>2023</v>
      </c>
      <c r="L39">
        <v>1</v>
      </c>
      <c r="M39">
        <v>20</v>
      </c>
      <c r="N39" t="s">
        <v>85</v>
      </c>
      <c r="O39">
        <v>2</v>
      </c>
      <c r="P39">
        <v>3</v>
      </c>
      <c r="Q39" t="s">
        <v>31</v>
      </c>
      <c r="R39">
        <v>19</v>
      </c>
      <c r="S39">
        <v>40</v>
      </c>
      <c r="T39">
        <v>42638</v>
      </c>
      <c r="U39">
        <v>7300</v>
      </c>
      <c r="V39">
        <v>7</v>
      </c>
      <c r="W39" t="s">
        <v>31</v>
      </c>
    </row>
    <row r="40" spans="1:23" x14ac:dyDescent="0.3">
      <c r="A40" t="s">
        <v>152</v>
      </c>
      <c r="B40" t="s">
        <v>1833</v>
      </c>
      <c r="C40">
        <v>47</v>
      </c>
      <c r="D40" t="s">
        <v>41</v>
      </c>
      <c r="E40" t="s">
        <v>71</v>
      </c>
      <c r="F40" t="s">
        <v>153</v>
      </c>
      <c r="G40" t="s">
        <v>63</v>
      </c>
      <c r="H40" t="s">
        <v>64</v>
      </c>
      <c r="I40" t="s">
        <v>27</v>
      </c>
      <c r="J40" t="s">
        <v>154</v>
      </c>
      <c r="K40">
        <v>2023</v>
      </c>
      <c r="L40">
        <v>1</v>
      </c>
      <c r="M40">
        <v>17</v>
      </c>
      <c r="N40" t="s">
        <v>29</v>
      </c>
      <c r="O40">
        <v>1</v>
      </c>
      <c r="P40">
        <v>5</v>
      </c>
      <c r="Q40" t="s">
        <v>30</v>
      </c>
      <c r="R40">
        <v>15</v>
      </c>
      <c r="S40">
        <v>33</v>
      </c>
      <c r="T40">
        <v>58223</v>
      </c>
      <c r="U40">
        <v>6900</v>
      </c>
      <c r="V40">
        <v>3.2</v>
      </c>
      <c r="W40" t="s">
        <v>31</v>
      </c>
    </row>
    <row r="41" spans="1:23" x14ac:dyDescent="0.3">
      <c r="A41" t="s">
        <v>155</v>
      </c>
      <c r="B41" t="s">
        <v>1834</v>
      </c>
      <c r="C41">
        <v>48</v>
      </c>
      <c r="D41" t="s">
        <v>33</v>
      </c>
      <c r="E41" t="s">
        <v>34</v>
      </c>
      <c r="F41" t="s">
        <v>35</v>
      </c>
      <c r="G41" t="s">
        <v>100</v>
      </c>
      <c r="H41" t="s">
        <v>145</v>
      </c>
      <c r="I41" t="s">
        <v>27</v>
      </c>
      <c r="J41" t="s">
        <v>156</v>
      </c>
      <c r="K41">
        <v>2022</v>
      </c>
      <c r="L41">
        <v>2</v>
      </c>
      <c r="M41">
        <v>20</v>
      </c>
      <c r="N41" t="s">
        <v>85</v>
      </c>
      <c r="O41">
        <v>2</v>
      </c>
      <c r="P41">
        <v>4</v>
      </c>
      <c r="Q41" t="s">
        <v>31</v>
      </c>
      <c r="R41">
        <v>16</v>
      </c>
      <c r="S41">
        <v>78</v>
      </c>
      <c r="T41">
        <v>55872</v>
      </c>
      <c r="U41">
        <v>13200</v>
      </c>
      <c r="V41">
        <v>4.3</v>
      </c>
      <c r="W41" t="s">
        <v>30</v>
      </c>
    </row>
    <row r="42" spans="1:23" x14ac:dyDescent="0.3">
      <c r="A42" t="s">
        <v>157</v>
      </c>
      <c r="B42" t="s">
        <v>1835</v>
      </c>
      <c r="C42">
        <v>42</v>
      </c>
      <c r="D42" t="s">
        <v>33</v>
      </c>
      <c r="E42" t="s">
        <v>71</v>
      </c>
      <c r="F42" t="s">
        <v>42</v>
      </c>
      <c r="G42" t="s">
        <v>25</v>
      </c>
      <c r="H42" t="s">
        <v>110</v>
      </c>
      <c r="I42" t="s">
        <v>27</v>
      </c>
      <c r="J42" t="s">
        <v>158</v>
      </c>
      <c r="K42">
        <v>2021</v>
      </c>
      <c r="L42">
        <v>3</v>
      </c>
      <c r="M42">
        <v>17</v>
      </c>
      <c r="N42" t="s">
        <v>29</v>
      </c>
      <c r="O42">
        <v>3</v>
      </c>
      <c r="P42">
        <v>5</v>
      </c>
      <c r="Q42" t="s">
        <v>31</v>
      </c>
      <c r="R42">
        <v>15</v>
      </c>
      <c r="S42">
        <v>24</v>
      </c>
      <c r="T42">
        <v>98399</v>
      </c>
      <c r="U42">
        <v>11200</v>
      </c>
      <c r="V42">
        <v>14.5</v>
      </c>
      <c r="W42" t="s">
        <v>31</v>
      </c>
    </row>
    <row r="43" spans="1:23" x14ac:dyDescent="0.3">
      <c r="A43" t="s">
        <v>159</v>
      </c>
      <c r="B43" t="s">
        <v>1836</v>
      </c>
      <c r="C43">
        <v>36</v>
      </c>
      <c r="D43" t="s">
        <v>41</v>
      </c>
      <c r="E43" t="s">
        <v>34</v>
      </c>
      <c r="F43" t="s">
        <v>42</v>
      </c>
      <c r="G43" t="s">
        <v>36</v>
      </c>
      <c r="H43" t="s">
        <v>37</v>
      </c>
      <c r="I43" t="s">
        <v>27</v>
      </c>
      <c r="J43" t="s">
        <v>160</v>
      </c>
      <c r="K43">
        <v>2023</v>
      </c>
      <c r="L43">
        <v>1</v>
      </c>
      <c r="M43">
        <v>7</v>
      </c>
      <c r="N43" t="s">
        <v>29</v>
      </c>
      <c r="O43">
        <v>4</v>
      </c>
      <c r="P43">
        <v>3</v>
      </c>
      <c r="Q43" t="s">
        <v>31</v>
      </c>
      <c r="R43">
        <v>24</v>
      </c>
      <c r="S43">
        <v>18</v>
      </c>
      <c r="T43">
        <v>67859</v>
      </c>
      <c r="U43">
        <v>9600</v>
      </c>
      <c r="V43">
        <v>11.7</v>
      </c>
      <c r="W43" t="s">
        <v>31</v>
      </c>
    </row>
    <row r="44" spans="1:23" x14ac:dyDescent="0.3">
      <c r="A44" t="s">
        <v>161</v>
      </c>
      <c r="B44" t="s">
        <v>1837</v>
      </c>
      <c r="C44">
        <v>38</v>
      </c>
      <c r="D44" t="s">
        <v>41</v>
      </c>
      <c r="E44" t="s">
        <v>34</v>
      </c>
      <c r="F44" t="s">
        <v>42</v>
      </c>
      <c r="G44" t="s">
        <v>43</v>
      </c>
      <c r="H44" t="s">
        <v>96</v>
      </c>
      <c r="I44" t="s">
        <v>27</v>
      </c>
      <c r="J44" t="s">
        <v>162</v>
      </c>
      <c r="K44">
        <v>2023</v>
      </c>
      <c r="L44">
        <v>1</v>
      </c>
      <c r="M44">
        <v>9</v>
      </c>
      <c r="N44" t="s">
        <v>39</v>
      </c>
      <c r="O44">
        <v>2</v>
      </c>
      <c r="P44">
        <v>1</v>
      </c>
      <c r="Q44" t="s">
        <v>30</v>
      </c>
      <c r="R44">
        <v>3</v>
      </c>
      <c r="S44">
        <v>52</v>
      </c>
      <c r="T44">
        <v>105537</v>
      </c>
      <c r="U44">
        <v>3400</v>
      </c>
      <c r="V44">
        <v>4.5999999999999996</v>
      </c>
      <c r="W44" t="s">
        <v>31</v>
      </c>
    </row>
    <row r="45" spans="1:23" x14ac:dyDescent="0.3">
      <c r="A45" t="s">
        <v>163</v>
      </c>
      <c r="B45" t="s">
        <v>1838</v>
      </c>
      <c r="C45">
        <v>34</v>
      </c>
      <c r="D45" t="s">
        <v>33</v>
      </c>
      <c r="E45" t="s">
        <v>71</v>
      </c>
      <c r="F45" t="s">
        <v>57</v>
      </c>
      <c r="G45" t="s">
        <v>43</v>
      </c>
      <c r="H45" t="s">
        <v>96</v>
      </c>
      <c r="I45" t="s">
        <v>27</v>
      </c>
      <c r="J45" t="s">
        <v>164</v>
      </c>
      <c r="K45">
        <v>2022</v>
      </c>
      <c r="L45">
        <v>2</v>
      </c>
      <c r="M45">
        <v>6</v>
      </c>
      <c r="N45" t="s">
        <v>29</v>
      </c>
      <c r="O45">
        <v>2</v>
      </c>
      <c r="P45">
        <v>5</v>
      </c>
      <c r="Q45" t="s">
        <v>31</v>
      </c>
      <c r="R45">
        <v>23</v>
      </c>
      <c r="S45">
        <v>4</v>
      </c>
      <c r="T45">
        <v>132350</v>
      </c>
      <c r="U45">
        <v>14000</v>
      </c>
      <c r="V45">
        <v>14.6</v>
      </c>
      <c r="W45" t="s">
        <v>31</v>
      </c>
    </row>
    <row r="46" spans="1:23" x14ac:dyDescent="0.3">
      <c r="A46" t="s">
        <v>165</v>
      </c>
      <c r="B46" t="s">
        <v>1839</v>
      </c>
      <c r="C46">
        <v>40</v>
      </c>
      <c r="D46" t="s">
        <v>41</v>
      </c>
      <c r="E46" t="s">
        <v>56</v>
      </c>
      <c r="F46" t="s">
        <v>47</v>
      </c>
      <c r="G46" t="s">
        <v>36</v>
      </c>
      <c r="H46" t="s">
        <v>37</v>
      </c>
      <c r="I46" t="s">
        <v>27</v>
      </c>
      <c r="J46" t="s">
        <v>166</v>
      </c>
      <c r="K46">
        <v>2021</v>
      </c>
      <c r="L46">
        <v>3</v>
      </c>
      <c r="M46">
        <v>16</v>
      </c>
      <c r="N46" t="s">
        <v>98</v>
      </c>
      <c r="O46">
        <v>5</v>
      </c>
      <c r="P46">
        <v>5</v>
      </c>
      <c r="Q46" t="s">
        <v>31</v>
      </c>
      <c r="R46">
        <v>15</v>
      </c>
      <c r="S46">
        <v>17</v>
      </c>
      <c r="T46">
        <v>63970</v>
      </c>
      <c r="U46">
        <v>3600</v>
      </c>
      <c r="V46">
        <v>9.8000000000000007</v>
      </c>
      <c r="W46" t="s">
        <v>31</v>
      </c>
    </row>
    <row r="47" spans="1:23" x14ac:dyDescent="0.3">
      <c r="A47" t="s">
        <v>167</v>
      </c>
      <c r="B47" t="s">
        <v>1840</v>
      </c>
      <c r="C47">
        <v>41</v>
      </c>
      <c r="D47" t="s">
        <v>41</v>
      </c>
      <c r="E47" t="s">
        <v>71</v>
      </c>
      <c r="F47" t="s">
        <v>153</v>
      </c>
      <c r="G47" t="s">
        <v>43</v>
      </c>
      <c r="H47" t="s">
        <v>48</v>
      </c>
      <c r="I47" t="s">
        <v>79</v>
      </c>
      <c r="J47" t="s">
        <v>168</v>
      </c>
      <c r="K47">
        <v>2023</v>
      </c>
      <c r="L47">
        <v>1</v>
      </c>
      <c r="M47">
        <v>15</v>
      </c>
      <c r="N47" t="s">
        <v>98</v>
      </c>
      <c r="O47">
        <v>5</v>
      </c>
      <c r="P47">
        <v>3</v>
      </c>
      <c r="Q47" t="s">
        <v>30</v>
      </c>
      <c r="R47">
        <v>2</v>
      </c>
      <c r="S47">
        <v>51</v>
      </c>
      <c r="T47">
        <v>71846</v>
      </c>
      <c r="U47">
        <v>5600</v>
      </c>
      <c r="V47">
        <v>9.8000000000000007</v>
      </c>
      <c r="W47" t="s">
        <v>31</v>
      </c>
    </row>
    <row r="48" spans="1:23" x14ac:dyDescent="0.3">
      <c r="A48" t="s">
        <v>169</v>
      </c>
      <c r="B48" t="s">
        <v>1841</v>
      </c>
      <c r="C48">
        <v>37</v>
      </c>
      <c r="D48" t="s">
        <v>41</v>
      </c>
      <c r="E48" t="s">
        <v>34</v>
      </c>
      <c r="F48" t="s">
        <v>24</v>
      </c>
      <c r="G48" t="s">
        <v>36</v>
      </c>
      <c r="H48" t="s">
        <v>76</v>
      </c>
      <c r="I48" t="s">
        <v>27</v>
      </c>
      <c r="J48" t="s">
        <v>170</v>
      </c>
      <c r="K48">
        <v>2023</v>
      </c>
      <c r="L48">
        <v>1</v>
      </c>
      <c r="M48">
        <v>9</v>
      </c>
      <c r="N48" t="s">
        <v>29</v>
      </c>
      <c r="O48">
        <v>1</v>
      </c>
      <c r="P48">
        <v>1</v>
      </c>
      <c r="Q48" t="s">
        <v>30</v>
      </c>
      <c r="R48">
        <v>14</v>
      </c>
      <c r="S48">
        <v>39</v>
      </c>
      <c r="T48">
        <v>94398</v>
      </c>
      <c r="U48">
        <v>10600</v>
      </c>
      <c r="V48">
        <v>10</v>
      </c>
      <c r="W48" t="s">
        <v>31</v>
      </c>
    </row>
    <row r="49" spans="1:23" x14ac:dyDescent="0.3">
      <c r="A49" t="s">
        <v>171</v>
      </c>
      <c r="B49" t="s">
        <v>1842</v>
      </c>
      <c r="C49">
        <v>37</v>
      </c>
      <c r="D49" t="s">
        <v>41</v>
      </c>
      <c r="E49" t="s">
        <v>71</v>
      </c>
      <c r="F49" t="s">
        <v>51</v>
      </c>
      <c r="G49" t="s">
        <v>43</v>
      </c>
      <c r="H49" t="s">
        <v>44</v>
      </c>
      <c r="I49" t="s">
        <v>27</v>
      </c>
      <c r="J49" t="s">
        <v>172</v>
      </c>
      <c r="K49">
        <v>2023</v>
      </c>
      <c r="L49">
        <v>1</v>
      </c>
      <c r="M49">
        <v>10</v>
      </c>
      <c r="N49" t="s">
        <v>39</v>
      </c>
      <c r="O49">
        <v>2</v>
      </c>
      <c r="P49">
        <v>2</v>
      </c>
      <c r="Q49" t="s">
        <v>31</v>
      </c>
      <c r="R49">
        <v>21</v>
      </c>
      <c r="S49">
        <v>76</v>
      </c>
      <c r="T49">
        <v>98721</v>
      </c>
      <c r="U49">
        <v>2900</v>
      </c>
      <c r="V49">
        <v>8.5</v>
      </c>
      <c r="W49" t="s">
        <v>31</v>
      </c>
    </row>
    <row r="50" spans="1:23" x14ac:dyDescent="0.3">
      <c r="A50" t="s">
        <v>173</v>
      </c>
      <c r="B50" t="s">
        <v>1843</v>
      </c>
      <c r="C50">
        <v>26</v>
      </c>
      <c r="D50" t="s">
        <v>33</v>
      </c>
      <c r="E50" t="s">
        <v>61</v>
      </c>
      <c r="F50" t="s">
        <v>75</v>
      </c>
      <c r="G50" t="s">
        <v>25</v>
      </c>
      <c r="H50" t="s">
        <v>26</v>
      </c>
      <c r="I50" t="s">
        <v>27</v>
      </c>
      <c r="J50" t="s">
        <v>174</v>
      </c>
      <c r="K50">
        <v>2023</v>
      </c>
      <c r="L50">
        <v>1</v>
      </c>
      <c r="M50">
        <v>4</v>
      </c>
      <c r="N50" t="s">
        <v>29</v>
      </c>
      <c r="O50">
        <v>4</v>
      </c>
      <c r="P50">
        <v>1</v>
      </c>
      <c r="Q50" t="s">
        <v>31</v>
      </c>
      <c r="R50">
        <v>16</v>
      </c>
      <c r="S50">
        <v>57</v>
      </c>
      <c r="T50">
        <v>88127</v>
      </c>
      <c r="U50">
        <v>10700</v>
      </c>
      <c r="V50">
        <v>5</v>
      </c>
      <c r="W50" t="s">
        <v>31</v>
      </c>
    </row>
    <row r="51" spans="1:23" x14ac:dyDescent="0.3">
      <c r="A51" t="s">
        <v>175</v>
      </c>
      <c r="B51" t="s">
        <v>1844</v>
      </c>
      <c r="C51">
        <v>47</v>
      </c>
      <c r="D51" t="s">
        <v>41</v>
      </c>
      <c r="E51" t="s">
        <v>71</v>
      </c>
      <c r="F51" t="s">
        <v>137</v>
      </c>
      <c r="G51" t="s">
        <v>43</v>
      </c>
      <c r="H51" t="s">
        <v>72</v>
      </c>
      <c r="I51" t="s">
        <v>27</v>
      </c>
      <c r="J51" t="s">
        <v>176</v>
      </c>
      <c r="K51">
        <v>2024</v>
      </c>
      <c r="L51">
        <v>0</v>
      </c>
      <c r="M51">
        <v>18</v>
      </c>
      <c r="N51" t="s">
        <v>98</v>
      </c>
      <c r="O51">
        <v>1</v>
      </c>
      <c r="P51">
        <v>5</v>
      </c>
      <c r="Q51" t="s">
        <v>31</v>
      </c>
      <c r="R51">
        <v>1</v>
      </c>
      <c r="S51">
        <v>8</v>
      </c>
      <c r="T51">
        <v>110392</v>
      </c>
      <c r="U51">
        <v>7400</v>
      </c>
      <c r="V51">
        <v>12.8</v>
      </c>
      <c r="W51" t="s">
        <v>31</v>
      </c>
    </row>
    <row r="52" spans="1:23" x14ac:dyDescent="0.3">
      <c r="A52" t="s">
        <v>177</v>
      </c>
      <c r="B52" t="s">
        <v>1816</v>
      </c>
      <c r="C52">
        <v>41</v>
      </c>
      <c r="D52" t="s">
        <v>41</v>
      </c>
      <c r="E52" t="s">
        <v>23</v>
      </c>
      <c r="F52" t="s">
        <v>42</v>
      </c>
      <c r="G52" t="s">
        <v>43</v>
      </c>
      <c r="H52" t="s">
        <v>48</v>
      </c>
      <c r="I52" t="s">
        <v>27</v>
      </c>
      <c r="J52" t="s">
        <v>178</v>
      </c>
      <c r="K52">
        <v>2022</v>
      </c>
      <c r="L52">
        <v>2</v>
      </c>
      <c r="M52">
        <v>14</v>
      </c>
      <c r="N52" t="s">
        <v>29</v>
      </c>
      <c r="O52">
        <v>3</v>
      </c>
      <c r="P52">
        <v>1</v>
      </c>
      <c r="Q52" t="s">
        <v>31</v>
      </c>
      <c r="R52">
        <v>5</v>
      </c>
      <c r="S52">
        <v>68</v>
      </c>
      <c r="T52">
        <v>120132</v>
      </c>
      <c r="U52">
        <v>16800</v>
      </c>
      <c r="V52">
        <v>7.5</v>
      </c>
      <c r="W52" t="s">
        <v>30</v>
      </c>
    </row>
    <row r="53" spans="1:23" x14ac:dyDescent="0.3">
      <c r="A53" t="s">
        <v>179</v>
      </c>
      <c r="B53" t="s">
        <v>1845</v>
      </c>
      <c r="C53">
        <v>45</v>
      </c>
      <c r="D53" t="s">
        <v>33</v>
      </c>
      <c r="E53" t="s">
        <v>34</v>
      </c>
      <c r="F53" t="s">
        <v>57</v>
      </c>
      <c r="G53" t="s">
        <v>43</v>
      </c>
      <c r="H53" t="s">
        <v>48</v>
      </c>
      <c r="I53" t="s">
        <v>27</v>
      </c>
      <c r="J53" t="s">
        <v>180</v>
      </c>
      <c r="K53">
        <v>2021</v>
      </c>
      <c r="L53">
        <v>3</v>
      </c>
      <c r="M53">
        <v>15</v>
      </c>
      <c r="N53" t="s">
        <v>98</v>
      </c>
      <c r="O53">
        <v>4</v>
      </c>
      <c r="P53">
        <v>5</v>
      </c>
      <c r="Q53" t="s">
        <v>31</v>
      </c>
      <c r="R53">
        <v>24</v>
      </c>
      <c r="S53">
        <v>2</v>
      </c>
      <c r="T53">
        <v>119712</v>
      </c>
      <c r="U53">
        <v>7500</v>
      </c>
      <c r="V53">
        <v>7.2</v>
      </c>
      <c r="W53" t="s">
        <v>31</v>
      </c>
    </row>
    <row r="54" spans="1:23" x14ac:dyDescent="0.3">
      <c r="A54" t="s">
        <v>181</v>
      </c>
      <c r="B54" t="s">
        <v>1846</v>
      </c>
      <c r="C54">
        <v>27</v>
      </c>
      <c r="D54" t="s">
        <v>41</v>
      </c>
      <c r="E54" t="s">
        <v>71</v>
      </c>
      <c r="F54" t="s">
        <v>47</v>
      </c>
      <c r="G54" t="s">
        <v>43</v>
      </c>
      <c r="H54" t="s">
        <v>44</v>
      </c>
      <c r="I54" t="s">
        <v>27</v>
      </c>
      <c r="J54" t="s">
        <v>182</v>
      </c>
      <c r="K54">
        <v>2021</v>
      </c>
      <c r="L54">
        <v>3</v>
      </c>
      <c r="M54">
        <v>2</v>
      </c>
      <c r="N54" t="s">
        <v>29</v>
      </c>
      <c r="O54">
        <v>5</v>
      </c>
      <c r="P54">
        <v>3</v>
      </c>
      <c r="Q54" t="s">
        <v>30</v>
      </c>
      <c r="R54">
        <v>18</v>
      </c>
      <c r="S54">
        <v>76</v>
      </c>
      <c r="T54">
        <v>122725</v>
      </c>
      <c r="U54">
        <v>15000</v>
      </c>
      <c r="V54">
        <v>12.1</v>
      </c>
      <c r="W54" t="s">
        <v>31</v>
      </c>
    </row>
    <row r="55" spans="1:23" x14ac:dyDescent="0.3">
      <c r="A55" t="s">
        <v>183</v>
      </c>
      <c r="B55" t="s">
        <v>1847</v>
      </c>
      <c r="C55">
        <v>31</v>
      </c>
      <c r="D55" t="s">
        <v>41</v>
      </c>
      <c r="E55" t="s">
        <v>71</v>
      </c>
      <c r="F55" t="s">
        <v>24</v>
      </c>
      <c r="G55" t="s">
        <v>117</v>
      </c>
      <c r="H55" t="s">
        <v>184</v>
      </c>
      <c r="I55" t="s">
        <v>65</v>
      </c>
      <c r="J55" t="s">
        <v>185</v>
      </c>
      <c r="K55">
        <v>2022</v>
      </c>
      <c r="L55">
        <v>2</v>
      </c>
      <c r="M55">
        <v>9</v>
      </c>
      <c r="N55" t="s">
        <v>98</v>
      </c>
      <c r="O55">
        <v>4</v>
      </c>
      <c r="P55">
        <v>5</v>
      </c>
      <c r="Q55" t="s">
        <v>31</v>
      </c>
      <c r="R55">
        <v>10</v>
      </c>
      <c r="S55">
        <v>53</v>
      </c>
      <c r="T55">
        <v>93775</v>
      </c>
      <c r="U55">
        <v>7600</v>
      </c>
      <c r="V55">
        <v>10.5</v>
      </c>
      <c r="W55" t="s">
        <v>31</v>
      </c>
    </row>
    <row r="56" spans="1:23" x14ac:dyDescent="0.3">
      <c r="A56" t="s">
        <v>186</v>
      </c>
      <c r="B56" t="s">
        <v>1816</v>
      </c>
      <c r="C56">
        <v>34</v>
      </c>
      <c r="D56" t="s">
        <v>41</v>
      </c>
      <c r="E56" t="s">
        <v>56</v>
      </c>
      <c r="F56" t="s">
        <v>35</v>
      </c>
      <c r="G56" t="s">
        <v>25</v>
      </c>
      <c r="H56" t="s">
        <v>110</v>
      </c>
      <c r="I56" t="s">
        <v>27</v>
      </c>
      <c r="J56" t="s">
        <v>187</v>
      </c>
      <c r="K56">
        <v>2024</v>
      </c>
      <c r="L56">
        <v>0</v>
      </c>
      <c r="M56">
        <v>8</v>
      </c>
      <c r="N56" t="s">
        <v>98</v>
      </c>
      <c r="O56">
        <v>3</v>
      </c>
      <c r="P56">
        <v>2</v>
      </c>
      <c r="Q56" t="s">
        <v>31</v>
      </c>
      <c r="R56">
        <v>10</v>
      </c>
      <c r="S56">
        <v>10</v>
      </c>
      <c r="T56">
        <v>64460</v>
      </c>
      <c r="U56">
        <v>5300</v>
      </c>
      <c r="V56">
        <v>9.6999999999999993</v>
      </c>
      <c r="W56" t="s">
        <v>31</v>
      </c>
    </row>
    <row r="57" spans="1:23" x14ac:dyDescent="0.3">
      <c r="A57" t="s">
        <v>188</v>
      </c>
      <c r="B57" t="s">
        <v>1848</v>
      </c>
      <c r="C57">
        <v>35</v>
      </c>
      <c r="D57" t="s">
        <v>33</v>
      </c>
      <c r="E57" t="s">
        <v>56</v>
      </c>
      <c r="F57" t="s">
        <v>24</v>
      </c>
      <c r="G57" t="s">
        <v>100</v>
      </c>
      <c r="H57" t="s">
        <v>129</v>
      </c>
      <c r="I57" t="s">
        <v>27</v>
      </c>
      <c r="J57" t="s">
        <v>189</v>
      </c>
      <c r="K57">
        <v>2022</v>
      </c>
      <c r="L57">
        <v>2</v>
      </c>
      <c r="M57">
        <v>13</v>
      </c>
      <c r="N57" t="s">
        <v>98</v>
      </c>
      <c r="O57">
        <v>1</v>
      </c>
      <c r="P57">
        <v>2</v>
      </c>
      <c r="Q57" t="s">
        <v>30</v>
      </c>
      <c r="R57">
        <v>6</v>
      </c>
      <c r="S57">
        <v>15</v>
      </c>
      <c r="T57">
        <v>52331</v>
      </c>
      <c r="U57">
        <v>3800</v>
      </c>
      <c r="V57">
        <v>11.1</v>
      </c>
      <c r="W57" t="s">
        <v>31</v>
      </c>
    </row>
    <row r="58" spans="1:23" x14ac:dyDescent="0.3">
      <c r="A58" t="s">
        <v>190</v>
      </c>
      <c r="B58" t="s">
        <v>1849</v>
      </c>
      <c r="C58">
        <v>45</v>
      </c>
      <c r="D58" t="s">
        <v>33</v>
      </c>
      <c r="E58" t="s">
        <v>61</v>
      </c>
      <c r="F58" t="s">
        <v>51</v>
      </c>
      <c r="G58" t="s">
        <v>36</v>
      </c>
      <c r="H58" t="s">
        <v>89</v>
      </c>
      <c r="I58" t="s">
        <v>27</v>
      </c>
      <c r="J58" t="s">
        <v>191</v>
      </c>
      <c r="K58">
        <v>2022</v>
      </c>
      <c r="L58">
        <v>2</v>
      </c>
      <c r="M58">
        <v>18</v>
      </c>
      <c r="N58" t="s">
        <v>29</v>
      </c>
      <c r="O58">
        <v>4</v>
      </c>
      <c r="P58">
        <v>3</v>
      </c>
      <c r="Q58" t="s">
        <v>31</v>
      </c>
      <c r="R58">
        <v>6</v>
      </c>
      <c r="S58">
        <v>47</v>
      </c>
      <c r="T58">
        <v>69947</v>
      </c>
      <c r="U58">
        <v>8900</v>
      </c>
      <c r="V58">
        <v>6.7</v>
      </c>
      <c r="W58" t="s">
        <v>31</v>
      </c>
    </row>
    <row r="59" spans="1:23" x14ac:dyDescent="0.3">
      <c r="A59" t="s">
        <v>192</v>
      </c>
      <c r="B59" t="s">
        <v>1850</v>
      </c>
      <c r="C59">
        <v>27</v>
      </c>
      <c r="D59" t="s">
        <v>41</v>
      </c>
      <c r="E59" t="s">
        <v>71</v>
      </c>
      <c r="F59" t="s">
        <v>75</v>
      </c>
      <c r="G59" t="s">
        <v>25</v>
      </c>
      <c r="H59" t="s">
        <v>58</v>
      </c>
      <c r="I59" t="s">
        <v>27</v>
      </c>
      <c r="J59" t="s">
        <v>113</v>
      </c>
      <c r="K59">
        <v>2022</v>
      </c>
      <c r="L59">
        <v>2</v>
      </c>
      <c r="M59">
        <v>1</v>
      </c>
      <c r="N59" t="s">
        <v>29</v>
      </c>
      <c r="O59">
        <v>3</v>
      </c>
      <c r="P59">
        <v>3</v>
      </c>
      <c r="Q59" t="s">
        <v>31</v>
      </c>
      <c r="R59">
        <v>24</v>
      </c>
      <c r="S59">
        <v>62</v>
      </c>
      <c r="T59">
        <v>93275</v>
      </c>
      <c r="U59">
        <v>10800</v>
      </c>
      <c r="V59">
        <v>4.8</v>
      </c>
      <c r="W59" t="s">
        <v>31</v>
      </c>
    </row>
    <row r="60" spans="1:23" x14ac:dyDescent="0.3">
      <c r="A60" t="s">
        <v>193</v>
      </c>
      <c r="B60" t="s">
        <v>1851</v>
      </c>
      <c r="C60">
        <v>47</v>
      </c>
      <c r="D60" t="s">
        <v>41</v>
      </c>
      <c r="E60" t="s">
        <v>34</v>
      </c>
      <c r="F60" t="s">
        <v>137</v>
      </c>
      <c r="G60" t="s">
        <v>36</v>
      </c>
      <c r="H60" t="s">
        <v>89</v>
      </c>
      <c r="I60" t="s">
        <v>27</v>
      </c>
      <c r="J60" t="s">
        <v>194</v>
      </c>
      <c r="K60">
        <v>2023</v>
      </c>
      <c r="L60">
        <v>1</v>
      </c>
      <c r="M60">
        <v>18</v>
      </c>
      <c r="N60" t="s">
        <v>39</v>
      </c>
      <c r="O60">
        <v>4</v>
      </c>
      <c r="P60">
        <v>2</v>
      </c>
      <c r="Q60" t="s">
        <v>31</v>
      </c>
      <c r="R60">
        <v>20</v>
      </c>
      <c r="S60">
        <v>29</v>
      </c>
      <c r="T60">
        <v>80529</v>
      </c>
      <c r="U60">
        <v>2900</v>
      </c>
      <c r="V60">
        <v>9.3000000000000007</v>
      </c>
      <c r="W60" t="s">
        <v>30</v>
      </c>
    </row>
    <row r="61" spans="1:23" x14ac:dyDescent="0.3">
      <c r="A61" t="s">
        <v>195</v>
      </c>
      <c r="B61" t="s">
        <v>1852</v>
      </c>
      <c r="C61">
        <v>49</v>
      </c>
      <c r="D61" t="s">
        <v>33</v>
      </c>
      <c r="E61" t="s">
        <v>71</v>
      </c>
      <c r="F61" t="s">
        <v>47</v>
      </c>
      <c r="G61" t="s">
        <v>43</v>
      </c>
      <c r="H61" t="s">
        <v>72</v>
      </c>
      <c r="I61" t="s">
        <v>27</v>
      </c>
      <c r="J61" t="s">
        <v>196</v>
      </c>
      <c r="K61">
        <v>2024</v>
      </c>
      <c r="L61">
        <v>0</v>
      </c>
      <c r="M61">
        <v>20</v>
      </c>
      <c r="N61" t="s">
        <v>85</v>
      </c>
      <c r="O61">
        <v>4</v>
      </c>
      <c r="P61">
        <v>2</v>
      </c>
      <c r="Q61" t="s">
        <v>30</v>
      </c>
      <c r="R61">
        <v>3</v>
      </c>
      <c r="S61">
        <v>12</v>
      </c>
      <c r="T61">
        <v>72061</v>
      </c>
      <c r="U61">
        <v>14700</v>
      </c>
      <c r="V61">
        <v>3.1</v>
      </c>
      <c r="W61" t="s">
        <v>31</v>
      </c>
    </row>
    <row r="62" spans="1:23" x14ac:dyDescent="0.3">
      <c r="A62" t="s">
        <v>197</v>
      </c>
      <c r="B62" t="s">
        <v>1853</v>
      </c>
      <c r="C62">
        <v>36</v>
      </c>
      <c r="D62" t="s">
        <v>41</v>
      </c>
      <c r="E62" t="s">
        <v>34</v>
      </c>
      <c r="F62" t="s">
        <v>57</v>
      </c>
      <c r="G62" t="s">
        <v>117</v>
      </c>
      <c r="H62" t="s">
        <v>198</v>
      </c>
      <c r="I62" t="s">
        <v>27</v>
      </c>
      <c r="J62" t="s">
        <v>199</v>
      </c>
      <c r="K62">
        <v>2023</v>
      </c>
      <c r="L62">
        <v>1</v>
      </c>
      <c r="M62">
        <v>13</v>
      </c>
      <c r="N62" t="s">
        <v>29</v>
      </c>
      <c r="O62">
        <v>1</v>
      </c>
      <c r="P62">
        <v>1</v>
      </c>
      <c r="Q62" t="s">
        <v>31</v>
      </c>
      <c r="R62">
        <v>12</v>
      </c>
      <c r="S62">
        <v>48</v>
      </c>
      <c r="T62">
        <v>81609</v>
      </c>
      <c r="U62">
        <v>8800</v>
      </c>
      <c r="V62">
        <v>11.4</v>
      </c>
      <c r="W62" t="s">
        <v>31</v>
      </c>
    </row>
    <row r="63" spans="1:23" x14ac:dyDescent="0.3">
      <c r="A63" t="s">
        <v>200</v>
      </c>
      <c r="B63" t="s">
        <v>1819</v>
      </c>
      <c r="C63">
        <v>32</v>
      </c>
      <c r="D63" t="s">
        <v>33</v>
      </c>
      <c r="E63" t="s">
        <v>61</v>
      </c>
      <c r="F63" t="s">
        <v>137</v>
      </c>
      <c r="G63" t="s">
        <v>25</v>
      </c>
      <c r="H63" t="s">
        <v>110</v>
      </c>
      <c r="I63" t="s">
        <v>27</v>
      </c>
      <c r="J63" t="s">
        <v>201</v>
      </c>
      <c r="K63">
        <v>2021</v>
      </c>
      <c r="L63">
        <v>3</v>
      </c>
      <c r="M63">
        <v>3</v>
      </c>
      <c r="N63" t="s">
        <v>98</v>
      </c>
      <c r="O63">
        <v>5</v>
      </c>
      <c r="P63">
        <v>4</v>
      </c>
      <c r="Q63" t="s">
        <v>31</v>
      </c>
      <c r="R63">
        <v>8</v>
      </c>
      <c r="S63">
        <v>5</v>
      </c>
      <c r="T63">
        <v>97264</v>
      </c>
      <c r="U63">
        <v>7000</v>
      </c>
      <c r="V63">
        <v>13.3</v>
      </c>
      <c r="W63" t="s">
        <v>30</v>
      </c>
    </row>
    <row r="64" spans="1:23" x14ac:dyDescent="0.3">
      <c r="A64" t="s">
        <v>202</v>
      </c>
      <c r="B64" t="s">
        <v>1854</v>
      </c>
      <c r="C64">
        <v>33</v>
      </c>
      <c r="D64" t="s">
        <v>33</v>
      </c>
      <c r="E64" t="s">
        <v>23</v>
      </c>
      <c r="F64" t="s">
        <v>62</v>
      </c>
      <c r="G64" t="s">
        <v>100</v>
      </c>
      <c r="H64" t="s">
        <v>150</v>
      </c>
      <c r="I64" t="s">
        <v>27</v>
      </c>
      <c r="J64" t="s">
        <v>203</v>
      </c>
      <c r="K64">
        <v>2021</v>
      </c>
      <c r="L64">
        <v>3</v>
      </c>
      <c r="M64">
        <v>11</v>
      </c>
      <c r="N64" t="s">
        <v>85</v>
      </c>
      <c r="O64">
        <v>4</v>
      </c>
      <c r="P64">
        <v>5</v>
      </c>
      <c r="Q64" t="s">
        <v>30</v>
      </c>
      <c r="R64">
        <v>10</v>
      </c>
      <c r="S64">
        <v>49</v>
      </c>
      <c r="T64">
        <v>78471</v>
      </c>
      <c r="U64">
        <v>17700</v>
      </c>
      <c r="V64">
        <v>12.9</v>
      </c>
      <c r="W64" t="s">
        <v>31</v>
      </c>
    </row>
    <row r="65" spans="1:23" x14ac:dyDescent="0.3">
      <c r="A65" t="s">
        <v>204</v>
      </c>
      <c r="B65" t="s">
        <v>1835</v>
      </c>
      <c r="C65">
        <v>34</v>
      </c>
      <c r="D65" t="s">
        <v>33</v>
      </c>
      <c r="E65" t="s">
        <v>34</v>
      </c>
      <c r="F65" t="s">
        <v>24</v>
      </c>
      <c r="G65" t="s">
        <v>25</v>
      </c>
      <c r="H65" t="s">
        <v>205</v>
      </c>
      <c r="I65" t="s">
        <v>27</v>
      </c>
      <c r="J65" t="s">
        <v>206</v>
      </c>
      <c r="K65">
        <v>2021</v>
      </c>
      <c r="L65">
        <v>3</v>
      </c>
      <c r="M65">
        <v>12</v>
      </c>
      <c r="N65" t="s">
        <v>98</v>
      </c>
      <c r="O65">
        <v>3</v>
      </c>
      <c r="P65">
        <v>4</v>
      </c>
      <c r="Q65" t="s">
        <v>31</v>
      </c>
      <c r="R65">
        <v>15</v>
      </c>
      <c r="S65">
        <v>29</v>
      </c>
      <c r="T65">
        <v>70213</v>
      </c>
      <c r="U65">
        <v>4600</v>
      </c>
      <c r="V65">
        <v>12.2</v>
      </c>
      <c r="W65" t="s">
        <v>31</v>
      </c>
    </row>
    <row r="66" spans="1:23" x14ac:dyDescent="0.3">
      <c r="A66" t="s">
        <v>207</v>
      </c>
      <c r="B66" t="s">
        <v>1855</v>
      </c>
      <c r="C66">
        <v>36</v>
      </c>
      <c r="D66" t="s">
        <v>33</v>
      </c>
      <c r="E66" t="s">
        <v>61</v>
      </c>
      <c r="F66" t="s">
        <v>35</v>
      </c>
      <c r="G66" t="s">
        <v>52</v>
      </c>
      <c r="H66" t="s">
        <v>208</v>
      </c>
      <c r="I66" t="s">
        <v>27</v>
      </c>
      <c r="J66" t="s">
        <v>209</v>
      </c>
      <c r="K66">
        <v>2022</v>
      </c>
      <c r="L66">
        <v>2</v>
      </c>
      <c r="M66">
        <v>13</v>
      </c>
      <c r="N66" t="s">
        <v>98</v>
      </c>
      <c r="O66">
        <v>3</v>
      </c>
      <c r="P66">
        <v>3</v>
      </c>
      <c r="Q66" t="s">
        <v>31</v>
      </c>
      <c r="R66">
        <v>3</v>
      </c>
      <c r="S66">
        <v>11</v>
      </c>
      <c r="T66">
        <v>64357</v>
      </c>
      <c r="U66">
        <v>4900</v>
      </c>
      <c r="V66">
        <v>4</v>
      </c>
      <c r="W66" t="s">
        <v>31</v>
      </c>
    </row>
    <row r="67" spans="1:23" x14ac:dyDescent="0.3">
      <c r="A67" t="s">
        <v>210</v>
      </c>
      <c r="B67" t="s">
        <v>1856</v>
      </c>
      <c r="C67">
        <v>27</v>
      </c>
      <c r="D67" t="s">
        <v>33</v>
      </c>
      <c r="E67" t="s">
        <v>34</v>
      </c>
      <c r="F67" t="s">
        <v>62</v>
      </c>
      <c r="G67" t="s">
        <v>52</v>
      </c>
      <c r="H67" t="s">
        <v>132</v>
      </c>
      <c r="I67" t="s">
        <v>27</v>
      </c>
      <c r="J67" t="s">
        <v>211</v>
      </c>
      <c r="K67">
        <v>2023</v>
      </c>
      <c r="L67">
        <v>1</v>
      </c>
      <c r="M67">
        <v>3</v>
      </c>
      <c r="N67" t="s">
        <v>29</v>
      </c>
      <c r="O67">
        <v>4</v>
      </c>
      <c r="P67">
        <v>1</v>
      </c>
      <c r="Q67" t="s">
        <v>30</v>
      </c>
      <c r="R67">
        <v>9</v>
      </c>
      <c r="S67">
        <v>52</v>
      </c>
      <c r="T67">
        <v>81502</v>
      </c>
      <c r="U67">
        <v>9400</v>
      </c>
      <c r="V67">
        <v>3.3</v>
      </c>
      <c r="W67" t="s">
        <v>31</v>
      </c>
    </row>
    <row r="68" spans="1:23" x14ac:dyDescent="0.3">
      <c r="A68" t="s">
        <v>212</v>
      </c>
      <c r="B68" t="s">
        <v>1857</v>
      </c>
      <c r="C68">
        <v>34</v>
      </c>
      <c r="D68" t="s">
        <v>33</v>
      </c>
      <c r="E68" t="s">
        <v>34</v>
      </c>
      <c r="F68" t="s">
        <v>51</v>
      </c>
      <c r="G68" t="s">
        <v>43</v>
      </c>
      <c r="H68" t="s">
        <v>48</v>
      </c>
      <c r="I68" t="s">
        <v>27</v>
      </c>
      <c r="J68" t="s">
        <v>213</v>
      </c>
      <c r="K68">
        <v>2022</v>
      </c>
      <c r="L68">
        <v>2</v>
      </c>
      <c r="M68">
        <v>6</v>
      </c>
      <c r="N68" t="s">
        <v>29</v>
      </c>
      <c r="O68">
        <v>3</v>
      </c>
      <c r="P68">
        <v>3</v>
      </c>
      <c r="Q68" t="s">
        <v>31</v>
      </c>
      <c r="R68">
        <v>7</v>
      </c>
      <c r="S68">
        <v>80</v>
      </c>
      <c r="T68">
        <v>105247</v>
      </c>
      <c r="U68">
        <v>12600</v>
      </c>
      <c r="V68">
        <v>3.8</v>
      </c>
      <c r="W68" t="s">
        <v>31</v>
      </c>
    </row>
    <row r="69" spans="1:23" x14ac:dyDescent="0.3">
      <c r="A69" t="s">
        <v>214</v>
      </c>
      <c r="B69" t="s">
        <v>1858</v>
      </c>
      <c r="C69">
        <v>29</v>
      </c>
      <c r="D69" t="s">
        <v>33</v>
      </c>
      <c r="E69" t="s">
        <v>34</v>
      </c>
      <c r="F69" t="s">
        <v>62</v>
      </c>
      <c r="G69" t="s">
        <v>36</v>
      </c>
      <c r="H69" t="s">
        <v>89</v>
      </c>
      <c r="I69" t="s">
        <v>27</v>
      </c>
      <c r="J69" t="s">
        <v>215</v>
      </c>
      <c r="K69">
        <v>2021</v>
      </c>
      <c r="L69">
        <v>3</v>
      </c>
      <c r="M69">
        <v>1</v>
      </c>
      <c r="N69" t="s">
        <v>29</v>
      </c>
      <c r="O69">
        <v>3</v>
      </c>
      <c r="P69">
        <v>5</v>
      </c>
      <c r="Q69" t="s">
        <v>31</v>
      </c>
      <c r="R69">
        <v>22</v>
      </c>
      <c r="S69">
        <v>25</v>
      </c>
      <c r="T69">
        <v>85644</v>
      </c>
      <c r="U69">
        <v>11800</v>
      </c>
      <c r="V69">
        <v>8.3000000000000007</v>
      </c>
      <c r="W69" t="s">
        <v>31</v>
      </c>
    </row>
    <row r="70" spans="1:23" x14ac:dyDescent="0.3">
      <c r="A70" t="s">
        <v>216</v>
      </c>
      <c r="B70" t="s">
        <v>1859</v>
      </c>
      <c r="C70">
        <v>41</v>
      </c>
      <c r="D70" t="s">
        <v>41</v>
      </c>
      <c r="E70" t="s">
        <v>34</v>
      </c>
      <c r="F70" t="s">
        <v>42</v>
      </c>
      <c r="G70" t="s">
        <v>43</v>
      </c>
      <c r="H70" t="s">
        <v>48</v>
      </c>
      <c r="I70" t="s">
        <v>27</v>
      </c>
      <c r="J70" t="s">
        <v>217</v>
      </c>
      <c r="K70">
        <v>2023</v>
      </c>
      <c r="L70">
        <v>1</v>
      </c>
      <c r="M70">
        <v>16</v>
      </c>
      <c r="N70" t="s">
        <v>98</v>
      </c>
      <c r="O70">
        <v>5</v>
      </c>
      <c r="P70">
        <v>1</v>
      </c>
      <c r="Q70" t="s">
        <v>31</v>
      </c>
      <c r="R70">
        <v>23</v>
      </c>
      <c r="S70">
        <v>59</v>
      </c>
      <c r="T70">
        <v>106739</v>
      </c>
      <c r="U70">
        <v>7200</v>
      </c>
      <c r="V70">
        <v>4.4000000000000004</v>
      </c>
      <c r="W70" t="s">
        <v>31</v>
      </c>
    </row>
    <row r="71" spans="1:23" x14ac:dyDescent="0.3">
      <c r="A71" t="s">
        <v>218</v>
      </c>
      <c r="B71" t="s">
        <v>1860</v>
      </c>
      <c r="C71">
        <v>40</v>
      </c>
      <c r="D71" t="s">
        <v>41</v>
      </c>
      <c r="E71" t="s">
        <v>71</v>
      </c>
      <c r="F71" t="s">
        <v>62</v>
      </c>
      <c r="G71" t="s">
        <v>43</v>
      </c>
      <c r="H71" t="s">
        <v>44</v>
      </c>
      <c r="I71" t="s">
        <v>27</v>
      </c>
      <c r="J71" t="s">
        <v>219</v>
      </c>
      <c r="K71">
        <v>2021</v>
      </c>
      <c r="L71">
        <v>3</v>
      </c>
      <c r="M71">
        <v>16</v>
      </c>
      <c r="N71" t="s">
        <v>29</v>
      </c>
      <c r="O71">
        <v>4</v>
      </c>
      <c r="P71">
        <v>5</v>
      </c>
      <c r="Q71" t="s">
        <v>31</v>
      </c>
      <c r="R71">
        <v>16</v>
      </c>
      <c r="S71">
        <v>53</v>
      </c>
      <c r="T71">
        <v>101722</v>
      </c>
      <c r="U71">
        <v>10500</v>
      </c>
      <c r="V71">
        <v>8.1</v>
      </c>
      <c r="W71" t="s">
        <v>31</v>
      </c>
    </row>
    <row r="72" spans="1:23" x14ac:dyDescent="0.3">
      <c r="A72" t="s">
        <v>220</v>
      </c>
      <c r="B72" t="s">
        <v>1861</v>
      </c>
      <c r="C72">
        <v>35</v>
      </c>
      <c r="D72" t="s">
        <v>33</v>
      </c>
      <c r="E72" t="s">
        <v>34</v>
      </c>
      <c r="F72" t="s">
        <v>153</v>
      </c>
      <c r="G72" t="s">
        <v>43</v>
      </c>
      <c r="H72" t="s">
        <v>72</v>
      </c>
      <c r="I72" t="s">
        <v>27</v>
      </c>
      <c r="J72" t="s">
        <v>221</v>
      </c>
      <c r="K72">
        <v>2021</v>
      </c>
      <c r="L72">
        <v>3</v>
      </c>
      <c r="M72">
        <v>8</v>
      </c>
      <c r="N72" t="s">
        <v>29</v>
      </c>
      <c r="O72">
        <v>1</v>
      </c>
      <c r="P72">
        <v>3</v>
      </c>
      <c r="Q72" t="s">
        <v>31</v>
      </c>
      <c r="R72">
        <v>7</v>
      </c>
      <c r="S72">
        <v>65</v>
      </c>
      <c r="T72">
        <v>75806</v>
      </c>
      <c r="U72">
        <v>9600</v>
      </c>
      <c r="V72">
        <v>10.8</v>
      </c>
      <c r="W72" t="s">
        <v>31</v>
      </c>
    </row>
    <row r="73" spans="1:23" x14ac:dyDescent="0.3">
      <c r="A73" t="s">
        <v>222</v>
      </c>
      <c r="B73" t="s">
        <v>1862</v>
      </c>
      <c r="C73">
        <v>39</v>
      </c>
      <c r="D73" t="s">
        <v>41</v>
      </c>
      <c r="E73" t="s">
        <v>34</v>
      </c>
      <c r="F73" t="s">
        <v>75</v>
      </c>
      <c r="G73" t="s">
        <v>117</v>
      </c>
      <c r="H73" t="s">
        <v>198</v>
      </c>
      <c r="I73" t="s">
        <v>27</v>
      </c>
      <c r="J73" t="s">
        <v>223</v>
      </c>
      <c r="K73">
        <v>2022</v>
      </c>
      <c r="L73">
        <v>2</v>
      </c>
      <c r="M73">
        <v>16</v>
      </c>
      <c r="N73" t="s">
        <v>85</v>
      </c>
      <c r="O73">
        <v>3</v>
      </c>
      <c r="P73">
        <v>4</v>
      </c>
      <c r="Q73" t="s">
        <v>31</v>
      </c>
      <c r="R73">
        <v>3</v>
      </c>
      <c r="S73">
        <v>56</v>
      </c>
      <c r="T73">
        <v>60626</v>
      </c>
      <c r="U73">
        <v>14300</v>
      </c>
      <c r="V73">
        <v>4.7</v>
      </c>
      <c r="W73" t="s">
        <v>31</v>
      </c>
    </row>
    <row r="74" spans="1:23" x14ac:dyDescent="0.3">
      <c r="A74" t="s">
        <v>224</v>
      </c>
      <c r="B74" t="s">
        <v>1863</v>
      </c>
      <c r="C74">
        <v>34</v>
      </c>
      <c r="D74" t="s">
        <v>41</v>
      </c>
      <c r="E74" t="s">
        <v>71</v>
      </c>
      <c r="F74" t="s">
        <v>51</v>
      </c>
      <c r="G74" t="s">
        <v>63</v>
      </c>
      <c r="H74" t="s">
        <v>225</v>
      </c>
      <c r="I74" t="s">
        <v>27</v>
      </c>
      <c r="J74" t="s">
        <v>226</v>
      </c>
      <c r="K74">
        <v>2021</v>
      </c>
      <c r="L74">
        <v>3</v>
      </c>
      <c r="M74">
        <v>11</v>
      </c>
      <c r="N74" t="s">
        <v>39</v>
      </c>
      <c r="O74">
        <v>4</v>
      </c>
      <c r="P74">
        <v>2</v>
      </c>
      <c r="Q74" t="s">
        <v>31</v>
      </c>
      <c r="R74">
        <v>5</v>
      </c>
      <c r="S74">
        <v>55</v>
      </c>
      <c r="T74">
        <v>40385</v>
      </c>
      <c r="U74">
        <v>1300</v>
      </c>
      <c r="V74">
        <v>9.1999999999999993</v>
      </c>
      <c r="W74" t="s">
        <v>31</v>
      </c>
    </row>
    <row r="75" spans="1:23" x14ac:dyDescent="0.3">
      <c r="A75" t="s">
        <v>227</v>
      </c>
      <c r="B75" t="s">
        <v>1864</v>
      </c>
      <c r="C75">
        <v>42</v>
      </c>
      <c r="D75" t="s">
        <v>41</v>
      </c>
      <c r="E75" t="s">
        <v>34</v>
      </c>
      <c r="F75" t="s">
        <v>42</v>
      </c>
      <c r="G75" t="s">
        <v>43</v>
      </c>
      <c r="H75" t="s">
        <v>48</v>
      </c>
      <c r="I75" t="s">
        <v>27</v>
      </c>
      <c r="J75" t="s">
        <v>228</v>
      </c>
      <c r="K75">
        <v>2022</v>
      </c>
      <c r="L75">
        <v>2</v>
      </c>
      <c r="M75">
        <v>14</v>
      </c>
      <c r="N75" t="s">
        <v>29</v>
      </c>
      <c r="O75">
        <v>3</v>
      </c>
      <c r="P75">
        <v>2</v>
      </c>
      <c r="Q75" t="s">
        <v>30</v>
      </c>
      <c r="R75">
        <v>14</v>
      </c>
      <c r="S75">
        <v>14</v>
      </c>
      <c r="T75">
        <v>98153</v>
      </c>
      <c r="U75">
        <v>13000</v>
      </c>
      <c r="V75">
        <v>12.7</v>
      </c>
      <c r="W75" t="s">
        <v>30</v>
      </c>
    </row>
    <row r="76" spans="1:23" x14ac:dyDescent="0.3">
      <c r="A76" t="s">
        <v>229</v>
      </c>
      <c r="B76" t="s">
        <v>1831</v>
      </c>
      <c r="C76">
        <v>48</v>
      </c>
      <c r="D76" t="s">
        <v>33</v>
      </c>
      <c r="E76" t="s">
        <v>71</v>
      </c>
      <c r="F76" t="s">
        <v>62</v>
      </c>
      <c r="G76" t="s">
        <v>25</v>
      </c>
      <c r="H76" t="s">
        <v>58</v>
      </c>
      <c r="I76" t="s">
        <v>27</v>
      </c>
      <c r="J76" t="s">
        <v>230</v>
      </c>
      <c r="K76">
        <v>2023</v>
      </c>
      <c r="L76">
        <v>1</v>
      </c>
      <c r="M76">
        <v>20</v>
      </c>
      <c r="N76" t="s">
        <v>29</v>
      </c>
      <c r="O76">
        <v>2</v>
      </c>
      <c r="P76">
        <v>3</v>
      </c>
      <c r="Q76" t="s">
        <v>31</v>
      </c>
      <c r="R76">
        <v>3</v>
      </c>
      <c r="S76">
        <v>30</v>
      </c>
      <c r="T76">
        <v>77801</v>
      </c>
      <c r="U76">
        <v>9200</v>
      </c>
      <c r="V76">
        <v>5.0999999999999996</v>
      </c>
      <c r="W76" t="s">
        <v>31</v>
      </c>
    </row>
    <row r="77" spans="1:23" x14ac:dyDescent="0.3">
      <c r="A77" t="s">
        <v>231</v>
      </c>
      <c r="B77" t="s">
        <v>1865</v>
      </c>
      <c r="C77">
        <v>38</v>
      </c>
      <c r="D77" t="s">
        <v>41</v>
      </c>
      <c r="E77" t="s">
        <v>71</v>
      </c>
      <c r="F77" t="s">
        <v>42</v>
      </c>
      <c r="G77" t="s">
        <v>43</v>
      </c>
      <c r="H77" t="s">
        <v>96</v>
      </c>
      <c r="I77" t="s">
        <v>27</v>
      </c>
      <c r="J77" t="s">
        <v>232</v>
      </c>
      <c r="K77">
        <v>2022</v>
      </c>
      <c r="L77">
        <v>2</v>
      </c>
      <c r="M77">
        <v>14</v>
      </c>
      <c r="N77" t="s">
        <v>85</v>
      </c>
      <c r="O77">
        <v>3</v>
      </c>
      <c r="P77">
        <v>2</v>
      </c>
      <c r="Q77" t="s">
        <v>31</v>
      </c>
      <c r="R77">
        <v>5</v>
      </c>
      <c r="S77">
        <v>40</v>
      </c>
      <c r="T77">
        <v>125448</v>
      </c>
      <c r="U77">
        <v>26400</v>
      </c>
      <c r="V77">
        <v>11.3</v>
      </c>
      <c r="W77" t="s">
        <v>31</v>
      </c>
    </row>
    <row r="78" spans="1:23" x14ac:dyDescent="0.3">
      <c r="A78" t="s">
        <v>233</v>
      </c>
      <c r="B78" t="s">
        <v>1866</v>
      </c>
      <c r="C78">
        <v>35</v>
      </c>
      <c r="D78" t="s">
        <v>33</v>
      </c>
      <c r="E78" t="s">
        <v>23</v>
      </c>
      <c r="F78" t="s">
        <v>35</v>
      </c>
      <c r="G78" t="s">
        <v>63</v>
      </c>
      <c r="H78" t="s">
        <v>225</v>
      </c>
      <c r="I78" t="s">
        <v>27</v>
      </c>
      <c r="J78" t="s">
        <v>234</v>
      </c>
      <c r="K78">
        <v>2021</v>
      </c>
      <c r="L78">
        <v>3</v>
      </c>
      <c r="M78">
        <v>7</v>
      </c>
      <c r="N78" t="s">
        <v>98</v>
      </c>
      <c r="O78">
        <v>1</v>
      </c>
      <c r="P78">
        <v>2</v>
      </c>
      <c r="Q78" t="s">
        <v>31</v>
      </c>
      <c r="R78">
        <v>9</v>
      </c>
      <c r="S78">
        <v>4</v>
      </c>
      <c r="T78">
        <v>51562</v>
      </c>
      <c r="U78">
        <v>3500</v>
      </c>
      <c r="V78">
        <v>8.9</v>
      </c>
      <c r="W78" t="s">
        <v>31</v>
      </c>
    </row>
    <row r="79" spans="1:23" x14ac:dyDescent="0.3">
      <c r="A79" t="s">
        <v>235</v>
      </c>
      <c r="B79" t="s">
        <v>1867</v>
      </c>
      <c r="C79">
        <v>46</v>
      </c>
      <c r="D79" t="s">
        <v>41</v>
      </c>
      <c r="E79" t="s">
        <v>71</v>
      </c>
      <c r="F79" t="s">
        <v>137</v>
      </c>
      <c r="G79" t="s">
        <v>82</v>
      </c>
      <c r="H79" t="s">
        <v>138</v>
      </c>
      <c r="I79" t="s">
        <v>27</v>
      </c>
      <c r="J79" t="s">
        <v>236</v>
      </c>
      <c r="K79">
        <v>2024</v>
      </c>
      <c r="L79">
        <v>0</v>
      </c>
      <c r="M79">
        <v>16</v>
      </c>
      <c r="N79" t="s">
        <v>85</v>
      </c>
      <c r="O79">
        <v>4</v>
      </c>
      <c r="P79">
        <v>5</v>
      </c>
      <c r="Q79" t="s">
        <v>31</v>
      </c>
      <c r="R79">
        <v>6</v>
      </c>
      <c r="S79">
        <v>54</v>
      </c>
      <c r="T79">
        <v>82533</v>
      </c>
      <c r="U79">
        <v>18300</v>
      </c>
      <c r="V79">
        <v>12.9</v>
      </c>
      <c r="W79" t="s">
        <v>31</v>
      </c>
    </row>
    <row r="80" spans="1:23" x14ac:dyDescent="0.3">
      <c r="A80" t="s">
        <v>237</v>
      </c>
      <c r="B80" t="s">
        <v>1868</v>
      </c>
      <c r="C80">
        <v>31</v>
      </c>
      <c r="D80" t="s">
        <v>33</v>
      </c>
      <c r="E80" t="s">
        <v>34</v>
      </c>
      <c r="F80" t="s">
        <v>62</v>
      </c>
      <c r="G80" t="s">
        <v>43</v>
      </c>
      <c r="H80" t="s">
        <v>72</v>
      </c>
      <c r="I80" t="s">
        <v>27</v>
      </c>
      <c r="J80" t="s">
        <v>238</v>
      </c>
      <c r="K80">
        <v>2022</v>
      </c>
      <c r="L80">
        <v>2</v>
      </c>
      <c r="M80">
        <v>2</v>
      </c>
      <c r="N80" t="s">
        <v>29</v>
      </c>
      <c r="O80">
        <v>5</v>
      </c>
      <c r="P80">
        <v>4</v>
      </c>
      <c r="Q80" t="s">
        <v>31</v>
      </c>
      <c r="R80">
        <v>5</v>
      </c>
      <c r="S80">
        <v>78</v>
      </c>
      <c r="T80">
        <v>81401</v>
      </c>
      <c r="U80">
        <v>11700</v>
      </c>
      <c r="V80">
        <v>12.3</v>
      </c>
      <c r="W80" t="s">
        <v>31</v>
      </c>
    </row>
    <row r="81" spans="1:23" x14ac:dyDescent="0.3">
      <c r="A81" t="s">
        <v>239</v>
      </c>
      <c r="B81" t="s">
        <v>1869</v>
      </c>
      <c r="C81">
        <v>44</v>
      </c>
      <c r="D81" t="s">
        <v>33</v>
      </c>
      <c r="E81" t="s">
        <v>71</v>
      </c>
      <c r="F81" t="s">
        <v>57</v>
      </c>
      <c r="G81" t="s">
        <v>43</v>
      </c>
      <c r="H81" t="s">
        <v>44</v>
      </c>
      <c r="I81" t="s">
        <v>27</v>
      </c>
      <c r="J81" t="s">
        <v>240</v>
      </c>
      <c r="K81">
        <v>2021</v>
      </c>
      <c r="L81">
        <v>3</v>
      </c>
      <c r="M81">
        <v>18</v>
      </c>
      <c r="N81" t="s">
        <v>29</v>
      </c>
      <c r="O81">
        <v>4</v>
      </c>
      <c r="P81">
        <v>1</v>
      </c>
      <c r="Q81" t="s">
        <v>31</v>
      </c>
      <c r="R81">
        <v>8</v>
      </c>
      <c r="S81">
        <v>16</v>
      </c>
      <c r="T81">
        <v>92069</v>
      </c>
      <c r="U81">
        <v>12000</v>
      </c>
      <c r="V81">
        <v>6.5</v>
      </c>
      <c r="W81" t="s">
        <v>31</v>
      </c>
    </row>
    <row r="82" spans="1:23" x14ac:dyDescent="0.3">
      <c r="A82" t="s">
        <v>241</v>
      </c>
      <c r="B82" t="s">
        <v>1870</v>
      </c>
      <c r="C82">
        <v>40</v>
      </c>
      <c r="D82" t="s">
        <v>41</v>
      </c>
      <c r="E82" t="s">
        <v>71</v>
      </c>
      <c r="F82" t="s">
        <v>153</v>
      </c>
      <c r="G82" t="s">
        <v>100</v>
      </c>
      <c r="H82" t="s">
        <v>145</v>
      </c>
      <c r="I82" t="s">
        <v>27</v>
      </c>
      <c r="J82" t="s">
        <v>242</v>
      </c>
      <c r="K82">
        <v>2022</v>
      </c>
      <c r="L82">
        <v>2</v>
      </c>
      <c r="M82">
        <v>16</v>
      </c>
      <c r="N82" t="s">
        <v>29</v>
      </c>
      <c r="O82">
        <v>3</v>
      </c>
      <c r="P82">
        <v>3</v>
      </c>
      <c r="Q82" t="s">
        <v>31</v>
      </c>
      <c r="R82">
        <v>14</v>
      </c>
      <c r="S82">
        <v>62</v>
      </c>
      <c r="T82">
        <v>57610</v>
      </c>
      <c r="U82">
        <v>6600</v>
      </c>
      <c r="V82">
        <v>3.9</v>
      </c>
      <c r="W82" t="s">
        <v>31</v>
      </c>
    </row>
    <row r="83" spans="1:23" x14ac:dyDescent="0.3">
      <c r="A83" t="s">
        <v>243</v>
      </c>
      <c r="B83" t="s">
        <v>1871</v>
      </c>
      <c r="C83">
        <v>35</v>
      </c>
      <c r="D83" t="s">
        <v>33</v>
      </c>
      <c r="E83" t="s">
        <v>61</v>
      </c>
      <c r="F83" t="s">
        <v>24</v>
      </c>
      <c r="G83" t="s">
        <v>43</v>
      </c>
      <c r="H83" t="s">
        <v>96</v>
      </c>
      <c r="I83" t="s">
        <v>27</v>
      </c>
      <c r="J83" t="s">
        <v>244</v>
      </c>
      <c r="K83">
        <v>2021</v>
      </c>
      <c r="L83">
        <v>3</v>
      </c>
      <c r="M83">
        <v>12</v>
      </c>
      <c r="N83" t="s">
        <v>29</v>
      </c>
      <c r="O83">
        <v>2</v>
      </c>
      <c r="P83">
        <v>5</v>
      </c>
      <c r="Q83" t="s">
        <v>31</v>
      </c>
      <c r="R83">
        <v>15</v>
      </c>
      <c r="S83">
        <v>43</v>
      </c>
      <c r="T83">
        <v>122129</v>
      </c>
      <c r="U83">
        <v>14200</v>
      </c>
      <c r="V83">
        <v>5.5</v>
      </c>
      <c r="W83" t="s">
        <v>31</v>
      </c>
    </row>
    <row r="84" spans="1:23" x14ac:dyDescent="0.3">
      <c r="A84" t="s">
        <v>245</v>
      </c>
      <c r="B84" t="s">
        <v>1872</v>
      </c>
      <c r="C84">
        <v>35</v>
      </c>
      <c r="D84" t="s">
        <v>41</v>
      </c>
      <c r="E84" t="s">
        <v>71</v>
      </c>
      <c r="F84" t="s">
        <v>47</v>
      </c>
      <c r="G84" t="s">
        <v>100</v>
      </c>
      <c r="H84" t="s">
        <v>150</v>
      </c>
      <c r="I84" t="s">
        <v>27</v>
      </c>
      <c r="J84" t="s">
        <v>246</v>
      </c>
      <c r="K84">
        <v>2024</v>
      </c>
      <c r="L84">
        <v>0</v>
      </c>
      <c r="M84">
        <v>6</v>
      </c>
      <c r="N84" t="s">
        <v>29</v>
      </c>
      <c r="O84">
        <v>3</v>
      </c>
      <c r="P84">
        <v>3</v>
      </c>
      <c r="Q84" t="s">
        <v>30</v>
      </c>
      <c r="R84">
        <v>2</v>
      </c>
      <c r="S84">
        <v>47</v>
      </c>
      <c r="T84">
        <v>68036</v>
      </c>
      <c r="U84">
        <v>8800</v>
      </c>
      <c r="V84">
        <v>4.5999999999999996</v>
      </c>
      <c r="W84" t="s">
        <v>31</v>
      </c>
    </row>
    <row r="85" spans="1:23" x14ac:dyDescent="0.3">
      <c r="A85" t="s">
        <v>247</v>
      </c>
      <c r="B85" t="s">
        <v>1873</v>
      </c>
      <c r="C85">
        <v>26</v>
      </c>
      <c r="D85" t="s">
        <v>41</v>
      </c>
      <c r="E85" t="s">
        <v>34</v>
      </c>
      <c r="F85" t="s">
        <v>24</v>
      </c>
      <c r="G85" t="s">
        <v>63</v>
      </c>
      <c r="H85" t="s">
        <v>64</v>
      </c>
      <c r="I85" t="s">
        <v>79</v>
      </c>
      <c r="J85" t="s">
        <v>248</v>
      </c>
      <c r="K85">
        <v>2022</v>
      </c>
      <c r="L85">
        <v>2</v>
      </c>
      <c r="M85">
        <v>3</v>
      </c>
      <c r="N85" t="s">
        <v>85</v>
      </c>
      <c r="O85">
        <v>4</v>
      </c>
      <c r="P85">
        <v>2</v>
      </c>
      <c r="Q85" t="s">
        <v>30</v>
      </c>
      <c r="R85">
        <v>15</v>
      </c>
      <c r="S85">
        <v>9</v>
      </c>
      <c r="T85">
        <v>50624</v>
      </c>
      <c r="U85">
        <v>10500</v>
      </c>
      <c r="V85">
        <v>9.1999999999999993</v>
      </c>
      <c r="W85" t="s">
        <v>31</v>
      </c>
    </row>
    <row r="86" spans="1:23" x14ac:dyDescent="0.3">
      <c r="A86" t="s">
        <v>249</v>
      </c>
      <c r="B86" t="s">
        <v>1851</v>
      </c>
      <c r="C86">
        <v>38</v>
      </c>
      <c r="D86" t="s">
        <v>41</v>
      </c>
      <c r="E86" t="s">
        <v>34</v>
      </c>
      <c r="F86" t="s">
        <v>35</v>
      </c>
      <c r="G86" t="s">
        <v>43</v>
      </c>
      <c r="H86" t="s">
        <v>44</v>
      </c>
      <c r="I86" t="s">
        <v>27</v>
      </c>
      <c r="J86" t="s">
        <v>250</v>
      </c>
      <c r="K86">
        <v>2021</v>
      </c>
      <c r="L86">
        <v>3</v>
      </c>
      <c r="M86">
        <v>12</v>
      </c>
      <c r="N86" t="s">
        <v>29</v>
      </c>
      <c r="O86">
        <v>2</v>
      </c>
      <c r="P86">
        <v>2</v>
      </c>
      <c r="Q86" t="s">
        <v>31</v>
      </c>
      <c r="R86">
        <v>13</v>
      </c>
      <c r="S86">
        <v>78</v>
      </c>
      <c r="T86">
        <v>87451</v>
      </c>
      <c r="U86">
        <v>11200</v>
      </c>
      <c r="V86">
        <v>3.8</v>
      </c>
      <c r="W86" t="s">
        <v>31</v>
      </c>
    </row>
    <row r="87" spans="1:23" x14ac:dyDescent="0.3">
      <c r="A87" t="s">
        <v>251</v>
      </c>
      <c r="B87" t="s">
        <v>1874</v>
      </c>
      <c r="C87">
        <v>32</v>
      </c>
      <c r="D87" t="s">
        <v>33</v>
      </c>
      <c r="E87" t="s">
        <v>34</v>
      </c>
      <c r="F87" t="s">
        <v>62</v>
      </c>
      <c r="G87" t="s">
        <v>43</v>
      </c>
      <c r="H87" t="s">
        <v>48</v>
      </c>
      <c r="I87" t="s">
        <v>27</v>
      </c>
      <c r="J87" t="s">
        <v>87</v>
      </c>
      <c r="K87">
        <v>2021</v>
      </c>
      <c r="L87">
        <v>3</v>
      </c>
      <c r="M87">
        <v>4</v>
      </c>
      <c r="N87" t="s">
        <v>29</v>
      </c>
      <c r="O87">
        <v>3</v>
      </c>
      <c r="P87">
        <v>1</v>
      </c>
      <c r="Q87" t="s">
        <v>31</v>
      </c>
      <c r="R87">
        <v>21</v>
      </c>
      <c r="S87">
        <v>38</v>
      </c>
      <c r="T87">
        <v>126280</v>
      </c>
      <c r="U87">
        <v>13000</v>
      </c>
      <c r="V87">
        <v>6.3</v>
      </c>
      <c r="W87" t="s">
        <v>30</v>
      </c>
    </row>
    <row r="88" spans="1:23" x14ac:dyDescent="0.3">
      <c r="A88" t="s">
        <v>252</v>
      </c>
      <c r="B88" t="s">
        <v>1875</v>
      </c>
      <c r="C88">
        <v>27</v>
      </c>
      <c r="D88" t="s">
        <v>41</v>
      </c>
      <c r="E88" t="s">
        <v>71</v>
      </c>
      <c r="F88" t="s">
        <v>24</v>
      </c>
      <c r="G88" t="s">
        <v>117</v>
      </c>
      <c r="H88" t="s">
        <v>198</v>
      </c>
      <c r="I88" t="s">
        <v>65</v>
      </c>
      <c r="J88" t="s">
        <v>253</v>
      </c>
      <c r="K88">
        <v>2024</v>
      </c>
      <c r="L88">
        <v>0</v>
      </c>
      <c r="M88">
        <v>2</v>
      </c>
      <c r="N88" t="s">
        <v>29</v>
      </c>
      <c r="O88">
        <v>2</v>
      </c>
      <c r="P88">
        <v>4</v>
      </c>
      <c r="Q88" t="s">
        <v>30</v>
      </c>
      <c r="R88">
        <v>18</v>
      </c>
      <c r="S88">
        <v>53</v>
      </c>
      <c r="T88">
        <v>62388</v>
      </c>
      <c r="U88">
        <v>7900</v>
      </c>
      <c r="V88">
        <v>3.9</v>
      </c>
      <c r="W88" t="s">
        <v>31</v>
      </c>
    </row>
    <row r="89" spans="1:23" x14ac:dyDescent="0.3">
      <c r="A89" t="s">
        <v>254</v>
      </c>
      <c r="B89" t="s">
        <v>1876</v>
      </c>
      <c r="C89">
        <v>42</v>
      </c>
      <c r="D89" t="s">
        <v>33</v>
      </c>
      <c r="E89" t="s">
        <v>34</v>
      </c>
      <c r="F89" t="s">
        <v>42</v>
      </c>
      <c r="G89" t="s">
        <v>82</v>
      </c>
      <c r="H89" t="s">
        <v>138</v>
      </c>
      <c r="I89" t="s">
        <v>27</v>
      </c>
      <c r="J89" t="s">
        <v>255</v>
      </c>
      <c r="K89">
        <v>2024</v>
      </c>
      <c r="L89">
        <v>0</v>
      </c>
      <c r="M89">
        <v>19</v>
      </c>
      <c r="N89" t="s">
        <v>85</v>
      </c>
      <c r="O89">
        <v>4</v>
      </c>
      <c r="P89">
        <v>4</v>
      </c>
      <c r="Q89" t="s">
        <v>31</v>
      </c>
      <c r="R89">
        <v>2</v>
      </c>
      <c r="S89">
        <v>68</v>
      </c>
      <c r="T89">
        <v>59138</v>
      </c>
      <c r="U89">
        <v>9700</v>
      </c>
      <c r="V89">
        <v>12.5</v>
      </c>
      <c r="W89" t="s">
        <v>31</v>
      </c>
    </row>
    <row r="90" spans="1:23" x14ac:dyDescent="0.3">
      <c r="A90" t="s">
        <v>256</v>
      </c>
      <c r="B90" t="s">
        <v>1877</v>
      </c>
      <c r="C90">
        <v>39</v>
      </c>
      <c r="D90" t="s">
        <v>41</v>
      </c>
      <c r="E90" t="s">
        <v>71</v>
      </c>
      <c r="F90" t="s">
        <v>137</v>
      </c>
      <c r="G90" t="s">
        <v>36</v>
      </c>
      <c r="H90" t="s">
        <v>37</v>
      </c>
      <c r="I90" t="s">
        <v>27</v>
      </c>
      <c r="J90" t="s">
        <v>257</v>
      </c>
      <c r="K90">
        <v>2022</v>
      </c>
      <c r="L90">
        <v>2</v>
      </c>
      <c r="M90">
        <v>11</v>
      </c>
      <c r="N90" t="s">
        <v>98</v>
      </c>
      <c r="O90">
        <v>4</v>
      </c>
      <c r="P90">
        <v>1</v>
      </c>
      <c r="Q90" t="s">
        <v>31</v>
      </c>
      <c r="R90">
        <v>14</v>
      </c>
      <c r="S90">
        <v>78</v>
      </c>
      <c r="T90">
        <v>87587</v>
      </c>
      <c r="U90">
        <v>5100</v>
      </c>
      <c r="V90">
        <v>11.4</v>
      </c>
      <c r="W90" t="s">
        <v>31</v>
      </c>
    </row>
    <row r="91" spans="1:23" x14ac:dyDescent="0.3">
      <c r="A91" t="s">
        <v>258</v>
      </c>
      <c r="B91" t="s">
        <v>1878</v>
      </c>
      <c r="C91">
        <v>27</v>
      </c>
      <c r="D91" t="s">
        <v>41</v>
      </c>
      <c r="E91" t="s">
        <v>34</v>
      </c>
      <c r="F91" t="s">
        <v>47</v>
      </c>
      <c r="G91" t="s">
        <v>36</v>
      </c>
      <c r="H91" t="s">
        <v>76</v>
      </c>
      <c r="I91" t="s">
        <v>27</v>
      </c>
      <c r="J91" t="s">
        <v>259</v>
      </c>
      <c r="K91">
        <v>2022</v>
      </c>
      <c r="L91">
        <v>2</v>
      </c>
      <c r="M91">
        <v>5</v>
      </c>
      <c r="N91" t="s">
        <v>29</v>
      </c>
      <c r="O91">
        <v>1</v>
      </c>
      <c r="P91">
        <v>1</v>
      </c>
      <c r="Q91" t="s">
        <v>30</v>
      </c>
      <c r="R91">
        <v>10</v>
      </c>
      <c r="S91">
        <v>54</v>
      </c>
      <c r="T91">
        <v>67721</v>
      </c>
      <c r="U91">
        <v>9000</v>
      </c>
      <c r="V91">
        <v>11.6</v>
      </c>
      <c r="W91" t="s">
        <v>31</v>
      </c>
    </row>
    <row r="92" spans="1:23" x14ac:dyDescent="0.3">
      <c r="A92" t="s">
        <v>260</v>
      </c>
      <c r="B92" t="s">
        <v>1879</v>
      </c>
      <c r="C92">
        <v>44</v>
      </c>
      <c r="D92" t="s">
        <v>33</v>
      </c>
      <c r="E92" t="s">
        <v>34</v>
      </c>
      <c r="F92" t="s">
        <v>57</v>
      </c>
      <c r="G92" t="s">
        <v>36</v>
      </c>
      <c r="H92" t="s">
        <v>68</v>
      </c>
      <c r="I92" t="s">
        <v>27</v>
      </c>
      <c r="J92" t="s">
        <v>261</v>
      </c>
      <c r="K92">
        <v>2021</v>
      </c>
      <c r="L92">
        <v>3</v>
      </c>
      <c r="M92">
        <v>17</v>
      </c>
      <c r="N92" t="s">
        <v>85</v>
      </c>
      <c r="O92">
        <v>5</v>
      </c>
      <c r="P92">
        <v>1</v>
      </c>
      <c r="Q92" t="s">
        <v>31</v>
      </c>
      <c r="R92">
        <v>1</v>
      </c>
      <c r="S92">
        <v>1</v>
      </c>
      <c r="T92">
        <v>82151</v>
      </c>
      <c r="U92">
        <v>14200</v>
      </c>
      <c r="V92">
        <v>12.3</v>
      </c>
      <c r="W92" t="s">
        <v>31</v>
      </c>
    </row>
    <row r="93" spans="1:23" x14ac:dyDescent="0.3">
      <c r="A93" t="s">
        <v>262</v>
      </c>
      <c r="B93" t="s">
        <v>1880</v>
      </c>
      <c r="C93">
        <v>32</v>
      </c>
      <c r="D93" t="s">
        <v>41</v>
      </c>
      <c r="E93" t="s">
        <v>61</v>
      </c>
      <c r="F93" t="s">
        <v>62</v>
      </c>
      <c r="G93" t="s">
        <v>100</v>
      </c>
      <c r="H93" t="s">
        <v>145</v>
      </c>
      <c r="I93" t="s">
        <v>27</v>
      </c>
      <c r="J93" t="s">
        <v>263</v>
      </c>
      <c r="K93">
        <v>2022</v>
      </c>
      <c r="L93">
        <v>2</v>
      </c>
      <c r="M93">
        <v>2</v>
      </c>
      <c r="N93" t="s">
        <v>29</v>
      </c>
      <c r="O93">
        <v>5</v>
      </c>
      <c r="P93">
        <v>1</v>
      </c>
      <c r="Q93" t="s">
        <v>31</v>
      </c>
      <c r="R93">
        <v>5</v>
      </c>
      <c r="S93">
        <v>28</v>
      </c>
      <c r="T93">
        <v>67483</v>
      </c>
      <c r="U93">
        <v>7300</v>
      </c>
      <c r="V93">
        <v>14</v>
      </c>
      <c r="W93" t="s">
        <v>31</v>
      </c>
    </row>
    <row r="94" spans="1:23" x14ac:dyDescent="0.3">
      <c r="A94" t="s">
        <v>264</v>
      </c>
      <c r="B94" t="s">
        <v>1874</v>
      </c>
      <c r="C94">
        <v>37</v>
      </c>
      <c r="D94" t="s">
        <v>33</v>
      </c>
      <c r="E94" t="s">
        <v>34</v>
      </c>
      <c r="F94" t="s">
        <v>51</v>
      </c>
      <c r="G94" t="s">
        <v>52</v>
      </c>
      <c r="H94" t="s">
        <v>132</v>
      </c>
      <c r="I94" t="s">
        <v>27</v>
      </c>
      <c r="J94" t="s">
        <v>265</v>
      </c>
      <c r="K94">
        <v>2024</v>
      </c>
      <c r="L94">
        <v>0</v>
      </c>
      <c r="M94">
        <v>10</v>
      </c>
      <c r="N94" t="s">
        <v>85</v>
      </c>
      <c r="O94">
        <v>4</v>
      </c>
      <c r="P94">
        <v>2</v>
      </c>
      <c r="Q94" t="s">
        <v>31</v>
      </c>
      <c r="R94">
        <v>23</v>
      </c>
      <c r="S94">
        <v>69</v>
      </c>
      <c r="T94">
        <v>74933</v>
      </c>
      <c r="U94">
        <v>13200</v>
      </c>
      <c r="V94">
        <v>9.8000000000000007</v>
      </c>
      <c r="W94" t="s">
        <v>31</v>
      </c>
    </row>
    <row r="95" spans="1:23" x14ac:dyDescent="0.3">
      <c r="A95" t="s">
        <v>266</v>
      </c>
      <c r="B95" t="s">
        <v>1881</v>
      </c>
      <c r="C95">
        <v>34</v>
      </c>
      <c r="D95" t="s">
        <v>41</v>
      </c>
      <c r="E95" t="s">
        <v>23</v>
      </c>
      <c r="F95" t="s">
        <v>75</v>
      </c>
      <c r="G95" t="s">
        <v>43</v>
      </c>
      <c r="H95" t="s">
        <v>44</v>
      </c>
      <c r="I95" t="s">
        <v>27</v>
      </c>
      <c r="J95" t="s">
        <v>267</v>
      </c>
      <c r="K95">
        <v>2021</v>
      </c>
      <c r="L95">
        <v>3</v>
      </c>
      <c r="M95">
        <v>12</v>
      </c>
      <c r="N95" t="s">
        <v>98</v>
      </c>
      <c r="O95">
        <v>1</v>
      </c>
      <c r="P95">
        <v>2</v>
      </c>
      <c r="Q95" t="s">
        <v>30</v>
      </c>
      <c r="R95">
        <v>22</v>
      </c>
      <c r="S95">
        <v>35</v>
      </c>
      <c r="T95">
        <v>70191</v>
      </c>
      <c r="U95">
        <v>4700</v>
      </c>
      <c r="V95">
        <v>11.9</v>
      </c>
      <c r="W95" t="s">
        <v>31</v>
      </c>
    </row>
    <row r="96" spans="1:23" x14ac:dyDescent="0.3">
      <c r="A96" t="s">
        <v>268</v>
      </c>
      <c r="B96" t="s">
        <v>1882</v>
      </c>
      <c r="C96">
        <v>38</v>
      </c>
      <c r="D96" t="s">
        <v>41</v>
      </c>
      <c r="E96" t="s">
        <v>71</v>
      </c>
      <c r="F96" t="s">
        <v>35</v>
      </c>
      <c r="G96" t="s">
        <v>36</v>
      </c>
      <c r="H96" t="s">
        <v>76</v>
      </c>
      <c r="I96" t="s">
        <v>27</v>
      </c>
      <c r="J96" t="s">
        <v>269</v>
      </c>
      <c r="K96">
        <v>2024</v>
      </c>
      <c r="L96">
        <v>0</v>
      </c>
      <c r="M96">
        <v>15</v>
      </c>
      <c r="N96" t="s">
        <v>85</v>
      </c>
      <c r="O96">
        <v>3</v>
      </c>
      <c r="P96">
        <v>3</v>
      </c>
      <c r="Q96" t="s">
        <v>31</v>
      </c>
      <c r="R96">
        <v>12</v>
      </c>
      <c r="S96">
        <v>41</v>
      </c>
      <c r="T96">
        <v>78123</v>
      </c>
      <c r="U96">
        <v>17600</v>
      </c>
      <c r="V96">
        <v>3.9</v>
      </c>
      <c r="W96" t="s">
        <v>31</v>
      </c>
    </row>
    <row r="97" spans="1:23" x14ac:dyDescent="0.3">
      <c r="A97" t="s">
        <v>270</v>
      </c>
      <c r="B97" t="s">
        <v>1883</v>
      </c>
      <c r="C97">
        <v>42</v>
      </c>
      <c r="D97" t="s">
        <v>41</v>
      </c>
      <c r="E97" t="s">
        <v>34</v>
      </c>
      <c r="F97" t="s">
        <v>51</v>
      </c>
      <c r="G97" t="s">
        <v>43</v>
      </c>
      <c r="H97" t="s">
        <v>96</v>
      </c>
      <c r="I97" t="s">
        <v>27</v>
      </c>
      <c r="J97" t="s">
        <v>271</v>
      </c>
      <c r="K97">
        <v>2022</v>
      </c>
      <c r="L97">
        <v>2</v>
      </c>
      <c r="M97">
        <v>19</v>
      </c>
      <c r="N97" t="s">
        <v>29</v>
      </c>
      <c r="O97">
        <v>3</v>
      </c>
      <c r="P97">
        <v>1</v>
      </c>
      <c r="Q97" t="s">
        <v>31</v>
      </c>
      <c r="R97">
        <v>2</v>
      </c>
      <c r="S97">
        <v>20</v>
      </c>
      <c r="T97">
        <v>91544</v>
      </c>
      <c r="U97">
        <v>10200</v>
      </c>
      <c r="V97">
        <v>4.4000000000000004</v>
      </c>
      <c r="W97" t="s">
        <v>31</v>
      </c>
    </row>
    <row r="98" spans="1:23" x14ac:dyDescent="0.3">
      <c r="A98" t="s">
        <v>272</v>
      </c>
      <c r="B98" t="s">
        <v>1849</v>
      </c>
      <c r="C98">
        <v>35</v>
      </c>
      <c r="D98" t="s">
        <v>33</v>
      </c>
      <c r="E98" t="s">
        <v>34</v>
      </c>
      <c r="F98" t="s">
        <v>35</v>
      </c>
      <c r="G98" t="s">
        <v>117</v>
      </c>
      <c r="H98" t="s">
        <v>184</v>
      </c>
      <c r="I98" t="s">
        <v>27</v>
      </c>
      <c r="J98" t="s">
        <v>273</v>
      </c>
      <c r="K98">
        <v>2021</v>
      </c>
      <c r="L98">
        <v>3</v>
      </c>
      <c r="M98">
        <v>11</v>
      </c>
      <c r="N98" t="s">
        <v>39</v>
      </c>
      <c r="O98">
        <v>4</v>
      </c>
      <c r="P98">
        <v>4</v>
      </c>
      <c r="Q98" t="s">
        <v>31</v>
      </c>
      <c r="R98">
        <v>17</v>
      </c>
      <c r="S98">
        <v>70</v>
      </c>
      <c r="T98">
        <v>71267</v>
      </c>
      <c r="U98">
        <v>2000</v>
      </c>
      <c r="V98">
        <v>3.6</v>
      </c>
      <c r="W98" t="s">
        <v>30</v>
      </c>
    </row>
    <row r="99" spans="1:23" x14ac:dyDescent="0.3">
      <c r="A99" t="s">
        <v>274</v>
      </c>
      <c r="B99" t="s">
        <v>1884</v>
      </c>
      <c r="C99">
        <v>27</v>
      </c>
      <c r="D99" t="s">
        <v>41</v>
      </c>
      <c r="E99" t="s">
        <v>34</v>
      </c>
      <c r="F99" t="s">
        <v>57</v>
      </c>
      <c r="G99" t="s">
        <v>82</v>
      </c>
      <c r="H99" t="s">
        <v>83</v>
      </c>
      <c r="I99" t="s">
        <v>27</v>
      </c>
      <c r="J99" t="s">
        <v>259</v>
      </c>
      <c r="K99">
        <v>2022</v>
      </c>
      <c r="L99">
        <v>2</v>
      </c>
      <c r="M99">
        <v>2</v>
      </c>
      <c r="N99" t="s">
        <v>29</v>
      </c>
      <c r="O99">
        <v>1</v>
      </c>
      <c r="P99">
        <v>2</v>
      </c>
      <c r="Q99" t="s">
        <v>30</v>
      </c>
      <c r="R99">
        <v>20</v>
      </c>
      <c r="S99">
        <v>56</v>
      </c>
      <c r="T99">
        <v>71252</v>
      </c>
      <c r="U99">
        <v>9000</v>
      </c>
      <c r="V99">
        <v>10.7</v>
      </c>
      <c r="W99" t="s">
        <v>31</v>
      </c>
    </row>
    <row r="100" spans="1:23" x14ac:dyDescent="0.3">
      <c r="A100" t="s">
        <v>275</v>
      </c>
      <c r="B100" t="s">
        <v>1885</v>
      </c>
      <c r="C100">
        <v>37</v>
      </c>
      <c r="D100" t="s">
        <v>41</v>
      </c>
      <c r="E100" t="s">
        <v>34</v>
      </c>
      <c r="F100" t="s">
        <v>24</v>
      </c>
      <c r="G100" t="s">
        <v>117</v>
      </c>
      <c r="H100" t="s">
        <v>198</v>
      </c>
      <c r="I100" t="s">
        <v>27</v>
      </c>
      <c r="J100" t="s">
        <v>276</v>
      </c>
      <c r="K100">
        <v>2023</v>
      </c>
      <c r="L100">
        <v>1</v>
      </c>
      <c r="M100">
        <v>15</v>
      </c>
      <c r="N100" t="s">
        <v>29</v>
      </c>
      <c r="O100">
        <v>2</v>
      </c>
      <c r="P100">
        <v>3</v>
      </c>
      <c r="Q100" t="s">
        <v>31</v>
      </c>
      <c r="R100">
        <v>8</v>
      </c>
      <c r="S100">
        <v>57</v>
      </c>
      <c r="T100">
        <v>92610</v>
      </c>
      <c r="U100">
        <v>12100</v>
      </c>
      <c r="V100">
        <v>9</v>
      </c>
      <c r="W100" t="s">
        <v>31</v>
      </c>
    </row>
    <row r="101" spans="1:23" x14ac:dyDescent="0.3">
      <c r="A101" t="s">
        <v>277</v>
      </c>
      <c r="B101" t="s">
        <v>1886</v>
      </c>
      <c r="C101">
        <v>44</v>
      </c>
      <c r="D101" t="s">
        <v>41</v>
      </c>
      <c r="E101" t="s">
        <v>56</v>
      </c>
      <c r="F101" t="s">
        <v>42</v>
      </c>
      <c r="G101" t="s">
        <v>63</v>
      </c>
      <c r="H101" t="s">
        <v>64</v>
      </c>
      <c r="I101" t="s">
        <v>27</v>
      </c>
      <c r="J101" t="s">
        <v>278</v>
      </c>
      <c r="K101">
        <v>2022</v>
      </c>
      <c r="L101">
        <v>2</v>
      </c>
      <c r="M101">
        <v>16</v>
      </c>
      <c r="N101" t="s">
        <v>85</v>
      </c>
      <c r="O101">
        <v>5</v>
      </c>
      <c r="P101">
        <v>1</v>
      </c>
      <c r="Q101" t="s">
        <v>31</v>
      </c>
      <c r="R101">
        <v>12</v>
      </c>
      <c r="S101">
        <v>45</v>
      </c>
      <c r="T101">
        <v>50696</v>
      </c>
      <c r="U101">
        <v>9200</v>
      </c>
      <c r="V101">
        <v>4.5999999999999996</v>
      </c>
      <c r="W101" t="s">
        <v>31</v>
      </c>
    </row>
    <row r="102" spans="1:23" x14ac:dyDescent="0.3">
      <c r="A102" t="s">
        <v>279</v>
      </c>
      <c r="B102" t="s">
        <v>1856</v>
      </c>
      <c r="C102">
        <v>28</v>
      </c>
      <c r="D102" t="s">
        <v>33</v>
      </c>
      <c r="E102" t="s">
        <v>34</v>
      </c>
      <c r="F102" t="s">
        <v>24</v>
      </c>
      <c r="G102" t="s">
        <v>36</v>
      </c>
      <c r="H102" t="s">
        <v>89</v>
      </c>
      <c r="I102" t="s">
        <v>27</v>
      </c>
      <c r="J102" t="s">
        <v>280</v>
      </c>
      <c r="K102">
        <v>2023</v>
      </c>
      <c r="L102">
        <v>1</v>
      </c>
      <c r="M102">
        <v>6</v>
      </c>
      <c r="N102" t="s">
        <v>85</v>
      </c>
      <c r="O102">
        <v>2</v>
      </c>
      <c r="P102">
        <v>2</v>
      </c>
      <c r="Q102" t="s">
        <v>31</v>
      </c>
      <c r="R102">
        <v>3</v>
      </c>
      <c r="S102">
        <v>31</v>
      </c>
      <c r="T102">
        <v>59353</v>
      </c>
      <c r="U102">
        <v>13300</v>
      </c>
      <c r="V102">
        <v>6.4</v>
      </c>
      <c r="W102" t="s">
        <v>31</v>
      </c>
    </row>
    <row r="103" spans="1:23" x14ac:dyDescent="0.3">
      <c r="A103" t="s">
        <v>281</v>
      </c>
      <c r="B103" t="s">
        <v>1827</v>
      </c>
      <c r="C103">
        <v>40</v>
      </c>
      <c r="D103" t="s">
        <v>41</v>
      </c>
      <c r="E103" t="s">
        <v>56</v>
      </c>
      <c r="F103" t="s">
        <v>137</v>
      </c>
      <c r="G103" t="s">
        <v>25</v>
      </c>
      <c r="H103" t="s">
        <v>205</v>
      </c>
      <c r="I103" t="s">
        <v>27</v>
      </c>
      <c r="J103" t="s">
        <v>282</v>
      </c>
      <c r="K103">
        <v>2021</v>
      </c>
      <c r="L103">
        <v>3</v>
      </c>
      <c r="M103">
        <v>13</v>
      </c>
      <c r="N103" t="s">
        <v>85</v>
      </c>
      <c r="O103">
        <v>3</v>
      </c>
      <c r="P103">
        <v>5</v>
      </c>
      <c r="Q103" t="s">
        <v>31</v>
      </c>
      <c r="R103">
        <v>18</v>
      </c>
      <c r="S103">
        <v>18</v>
      </c>
      <c r="T103">
        <v>66384</v>
      </c>
      <c r="U103">
        <v>13800</v>
      </c>
      <c r="V103">
        <v>12.7</v>
      </c>
      <c r="W103" t="s">
        <v>31</v>
      </c>
    </row>
    <row r="104" spans="1:23" x14ac:dyDescent="0.3">
      <c r="A104" t="s">
        <v>283</v>
      </c>
      <c r="B104" t="s">
        <v>1887</v>
      </c>
      <c r="C104">
        <v>35</v>
      </c>
      <c r="D104" t="s">
        <v>33</v>
      </c>
      <c r="E104" t="s">
        <v>34</v>
      </c>
      <c r="F104" t="s">
        <v>75</v>
      </c>
      <c r="G104" t="s">
        <v>25</v>
      </c>
      <c r="H104" t="s">
        <v>205</v>
      </c>
      <c r="I104" t="s">
        <v>79</v>
      </c>
      <c r="J104" t="s">
        <v>284</v>
      </c>
      <c r="K104">
        <v>2024</v>
      </c>
      <c r="L104">
        <v>0</v>
      </c>
      <c r="M104">
        <v>6</v>
      </c>
      <c r="N104" t="s">
        <v>29</v>
      </c>
      <c r="O104">
        <v>3</v>
      </c>
      <c r="P104">
        <v>2</v>
      </c>
      <c r="Q104" t="s">
        <v>31</v>
      </c>
      <c r="R104">
        <v>10</v>
      </c>
      <c r="S104">
        <v>7</v>
      </c>
      <c r="T104">
        <v>58681</v>
      </c>
      <c r="U104">
        <v>6200</v>
      </c>
      <c r="V104">
        <v>9.3000000000000007</v>
      </c>
      <c r="W104" t="s">
        <v>30</v>
      </c>
    </row>
    <row r="105" spans="1:23" x14ac:dyDescent="0.3">
      <c r="A105" t="s">
        <v>285</v>
      </c>
      <c r="B105" t="s">
        <v>1888</v>
      </c>
      <c r="C105">
        <v>44</v>
      </c>
      <c r="D105" t="s">
        <v>41</v>
      </c>
      <c r="E105" t="s">
        <v>23</v>
      </c>
      <c r="F105" t="s">
        <v>35</v>
      </c>
      <c r="G105" t="s">
        <v>82</v>
      </c>
      <c r="H105" t="s">
        <v>286</v>
      </c>
      <c r="I105" t="s">
        <v>27</v>
      </c>
      <c r="J105" t="s">
        <v>287</v>
      </c>
      <c r="K105">
        <v>2022</v>
      </c>
      <c r="L105">
        <v>2</v>
      </c>
      <c r="M105">
        <v>17</v>
      </c>
      <c r="N105" t="s">
        <v>98</v>
      </c>
      <c r="O105">
        <v>4</v>
      </c>
      <c r="P105">
        <v>4</v>
      </c>
      <c r="Q105" t="s">
        <v>31</v>
      </c>
      <c r="R105">
        <v>20</v>
      </c>
      <c r="S105">
        <v>40</v>
      </c>
      <c r="T105">
        <v>69483</v>
      </c>
      <c r="U105">
        <v>5200</v>
      </c>
      <c r="V105">
        <v>10</v>
      </c>
      <c r="W105" t="s">
        <v>31</v>
      </c>
    </row>
    <row r="106" spans="1:23" x14ac:dyDescent="0.3">
      <c r="A106" t="s">
        <v>288</v>
      </c>
      <c r="B106" t="s">
        <v>1843</v>
      </c>
      <c r="C106">
        <v>43</v>
      </c>
      <c r="D106" t="s">
        <v>33</v>
      </c>
      <c r="E106" t="s">
        <v>34</v>
      </c>
      <c r="F106" t="s">
        <v>62</v>
      </c>
      <c r="G106" t="s">
        <v>43</v>
      </c>
      <c r="H106" t="s">
        <v>44</v>
      </c>
      <c r="I106" t="s">
        <v>27</v>
      </c>
      <c r="J106" t="s">
        <v>289</v>
      </c>
      <c r="K106">
        <v>2023</v>
      </c>
      <c r="L106">
        <v>1</v>
      </c>
      <c r="M106">
        <v>19</v>
      </c>
      <c r="N106" t="s">
        <v>85</v>
      </c>
      <c r="O106">
        <v>5</v>
      </c>
      <c r="P106">
        <v>3</v>
      </c>
      <c r="Q106" t="s">
        <v>31</v>
      </c>
      <c r="R106">
        <v>19</v>
      </c>
      <c r="S106">
        <v>28</v>
      </c>
      <c r="T106">
        <v>108602</v>
      </c>
      <c r="U106">
        <v>23700</v>
      </c>
      <c r="V106">
        <v>14.4</v>
      </c>
      <c r="W106" t="s">
        <v>31</v>
      </c>
    </row>
    <row r="107" spans="1:23" x14ac:dyDescent="0.3">
      <c r="A107" t="s">
        <v>290</v>
      </c>
      <c r="B107" t="s">
        <v>1889</v>
      </c>
      <c r="C107">
        <v>35</v>
      </c>
      <c r="D107" t="s">
        <v>33</v>
      </c>
      <c r="E107" t="s">
        <v>71</v>
      </c>
      <c r="F107" t="s">
        <v>75</v>
      </c>
      <c r="G107" t="s">
        <v>25</v>
      </c>
      <c r="H107" t="s">
        <v>26</v>
      </c>
      <c r="I107" t="s">
        <v>27</v>
      </c>
      <c r="J107" t="s">
        <v>291</v>
      </c>
      <c r="K107">
        <v>2021</v>
      </c>
      <c r="L107">
        <v>3</v>
      </c>
      <c r="M107">
        <v>11</v>
      </c>
      <c r="N107" t="s">
        <v>98</v>
      </c>
      <c r="O107">
        <v>1</v>
      </c>
      <c r="P107">
        <v>3</v>
      </c>
      <c r="Q107" t="s">
        <v>30</v>
      </c>
      <c r="R107">
        <v>8</v>
      </c>
      <c r="S107">
        <v>13</v>
      </c>
      <c r="T107">
        <v>60814</v>
      </c>
      <c r="U107">
        <v>4500</v>
      </c>
      <c r="V107">
        <v>11.8</v>
      </c>
      <c r="W107" t="s">
        <v>31</v>
      </c>
    </row>
    <row r="108" spans="1:23" x14ac:dyDescent="0.3">
      <c r="A108" t="s">
        <v>292</v>
      </c>
      <c r="B108" t="s">
        <v>1890</v>
      </c>
      <c r="C108">
        <v>44</v>
      </c>
      <c r="D108" t="s">
        <v>41</v>
      </c>
      <c r="E108" t="s">
        <v>34</v>
      </c>
      <c r="F108" t="s">
        <v>35</v>
      </c>
      <c r="G108" t="s">
        <v>36</v>
      </c>
      <c r="H108" t="s">
        <v>76</v>
      </c>
      <c r="I108" t="s">
        <v>27</v>
      </c>
      <c r="J108" t="s">
        <v>293</v>
      </c>
      <c r="K108">
        <v>2024</v>
      </c>
      <c r="L108">
        <v>0</v>
      </c>
      <c r="M108">
        <v>16</v>
      </c>
      <c r="N108" t="s">
        <v>85</v>
      </c>
      <c r="O108">
        <v>1</v>
      </c>
      <c r="P108">
        <v>3</v>
      </c>
      <c r="Q108" t="s">
        <v>31</v>
      </c>
      <c r="R108">
        <v>0</v>
      </c>
      <c r="S108">
        <v>40</v>
      </c>
      <c r="T108">
        <v>69598</v>
      </c>
      <c r="U108">
        <v>13800</v>
      </c>
      <c r="V108">
        <v>13.4</v>
      </c>
      <c r="W108" t="s">
        <v>31</v>
      </c>
    </row>
    <row r="109" spans="1:23" x14ac:dyDescent="0.3">
      <c r="A109" t="s">
        <v>294</v>
      </c>
      <c r="B109" t="s">
        <v>1891</v>
      </c>
      <c r="C109">
        <v>33</v>
      </c>
      <c r="D109" t="s">
        <v>33</v>
      </c>
      <c r="E109" t="s">
        <v>56</v>
      </c>
      <c r="F109" t="s">
        <v>35</v>
      </c>
      <c r="G109" t="s">
        <v>43</v>
      </c>
      <c r="H109" t="s">
        <v>96</v>
      </c>
      <c r="I109" t="s">
        <v>27</v>
      </c>
      <c r="J109" t="s">
        <v>295</v>
      </c>
      <c r="K109">
        <v>2022</v>
      </c>
      <c r="L109">
        <v>2</v>
      </c>
      <c r="M109">
        <v>3</v>
      </c>
      <c r="N109" t="s">
        <v>29</v>
      </c>
      <c r="O109">
        <v>4</v>
      </c>
      <c r="P109">
        <v>2</v>
      </c>
      <c r="Q109" t="s">
        <v>31</v>
      </c>
      <c r="R109">
        <v>1</v>
      </c>
      <c r="S109">
        <v>12</v>
      </c>
      <c r="T109">
        <v>82203</v>
      </c>
      <c r="U109">
        <v>11800</v>
      </c>
      <c r="V109">
        <v>13.7</v>
      </c>
      <c r="W109" t="s">
        <v>31</v>
      </c>
    </row>
    <row r="110" spans="1:23" x14ac:dyDescent="0.3">
      <c r="A110" t="s">
        <v>296</v>
      </c>
      <c r="B110" t="s">
        <v>1892</v>
      </c>
      <c r="C110">
        <v>35</v>
      </c>
      <c r="D110" t="s">
        <v>41</v>
      </c>
      <c r="E110" t="s">
        <v>34</v>
      </c>
      <c r="F110" t="s">
        <v>47</v>
      </c>
      <c r="G110" t="s">
        <v>82</v>
      </c>
      <c r="H110" t="s">
        <v>138</v>
      </c>
      <c r="I110" t="s">
        <v>79</v>
      </c>
      <c r="J110" t="s">
        <v>141</v>
      </c>
      <c r="K110">
        <v>2023</v>
      </c>
      <c r="L110">
        <v>1</v>
      </c>
      <c r="M110">
        <v>10</v>
      </c>
      <c r="N110" t="s">
        <v>29</v>
      </c>
      <c r="O110">
        <v>5</v>
      </c>
      <c r="P110">
        <v>4</v>
      </c>
      <c r="Q110" t="s">
        <v>31</v>
      </c>
      <c r="R110">
        <v>6</v>
      </c>
      <c r="S110">
        <v>12</v>
      </c>
      <c r="T110">
        <v>70749</v>
      </c>
      <c r="U110">
        <v>9600</v>
      </c>
      <c r="V110">
        <v>4.8</v>
      </c>
      <c r="W110" t="s">
        <v>31</v>
      </c>
    </row>
    <row r="111" spans="1:23" x14ac:dyDescent="0.3">
      <c r="A111" t="s">
        <v>297</v>
      </c>
      <c r="B111" t="s">
        <v>1873</v>
      </c>
      <c r="C111">
        <v>30</v>
      </c>
      <c r="D111" t="s">
        <v>41</v>
      </c>
      <c r="E111" t="s">
        <v>61</v>
      </c>
      <c r="F111" t="s">
        <v>153</v>
      </c>
      <c r="G111" t="s">
        <v>117</v>
      </c>
      <c r="H111" t="s">
        <v>298</v>
      </c>
      <c r="I111" t="s">
        <v>27</v>
      </c>
      <c r="J111" t="s">
        <v>299</v>
      </c>
      <c r="K111">
        <v>2021</v>
      </c>
      <c r="L111">
        <v>3</v>
      </c>
      <c r="M111">
        <v>4</v>
      </c>
      <c r="N111" t="s">
        <v>29</v>
      </c>
      <c r="O111">
        <v>4</v>
      </c>
      <c r="P111">
        <v>1</v>
      </c>
      <c r="Q111" t="s">
        <v>30</v>
      </c>
      <c r="R111">
        <v>8</v>
      </c>
      <c r="S111">
        <v>56</v>
      </c>
      <c r="T111">
        <v>85863</v>
      </c>
      <c r="U111">
        <v>11000</v>
      </c>
      <c r="V111">
        <v>4.0999999999999996</v>
      </c>
      <c r="W111" t="s">
        <v>31</v>
      </c>
    </row>
    <row r="112" spans="1:23" x14ac:dyDescent="0.3">
      <c r="A112" t="s">
        <v>300</v>
      </c>
      <c r="B112" t="s">
        <v>1893</v>
      </c>
      <c r="C112">
        <v>27</v>
      </c>
      <c r="D112" t="s">
        <v>41</v>
      </c>
      <c r="E112" t="s">
        <v>71</v>
      </c>
      <c r="F112" t="s">
        <v>42</v>
      </c>
      <c r="G112" t="s">
        <v>63</v>
      </c>
      <c r="H112" t="s">
        <v>225</v>
      </c>
      <c r="I112" t="s">
        <v>27</v>
      </c>
      <c r="J112" t="s">
        <v>87</v>
      </c>
      <c r="K112">
        <v>2021</v>
      </c>
      <c r="L112">
        <v>3</v>
      </c>
      <c r="M112">
        <v>4</v>
      </c>
      <c r="N112" t="s">
        <v>29</v>
      </c>
      <c r="O112">
        <v>5</v>
      </c>
      <c r="P112">
        <v>4</v>
      </c>
      <c r="Q112" t="s">
        <v>31</v>
      </c>
      <c r="R112">
        <v>18</v>
      </c>
      <c r="S112">
        <v>30</v>
      </c>
      <c r="T112">
        <v>61482</v>
      </c>
      <c r="U112">
        <v>8800</v>
      </c>
      <c r="V112">
        <v>10.1</v>
      </c>
      <c r="W112" t="s">
        <v>31</v>
      </c>
    </row>
    <row r="113" spans="1:23" x14ac:dyDescent="0.3">
      <c r="A113" t="s">
        <v>301</v>
      </c>
      <c r="B113" t="s">
        <v>1894</v>
      </c>
      <c r="C113">
        <v>41</v>
      </c>
      <c r="D113" t="s">
        <v>41</v>
      </c>
      <c r="E113" t="s">
        <v>34</v>
      </c>
      <c r="F113" t="s">
        <v>153</v>
      </c>
      <c r="G113" t="s">
        <v>43</v>
      </c>
      <c r="H113" t="s">
        <v>48</v>
      </c>
      <c r="I113" t="s">
        <v>27</v>
      </c>
      <c r="J113" t="s">
        <v>302</v>
      </c>
      <c r="K113">
        <v>2021</v>
      </c>
      <c r="L113">
        <v>3</v>
      </c>
      <c r="M113">
        <v>17</v>
      </c>
      <c r="N113" t="s">
        <v>85</v>
      </c>
      <c r="O113">
        <v>4</v>
      </c>
      <c r="P113">
        <v>2</v>
      </c>
      <c r="Q113" t="s">
        <v>30</v>
      </c>
      <c r="R113">
        <v>20</v>
      </c>
      <c r="S113">
        <v>18</v>
      </c>
      <c r="T113">
        <v>128856</v>
      </c>
      <c r="U113">
        <v>30800</v>
      </c>
      <c r="V113">
        <v>14.7</v>
      </c>
      <c r="W113" t="s">
        <v>31</v>
      </c>
    </row>
    <row r="114" spans="1:23" x14ac:dyDescent="0.3">
      <c r="A114" t="s">
        <v>303</v>
      </c>
      <c r="B114" t="s">
        <v>1888</v>
      </c>
      <c r="C114">
        <v>46</v>
      </c>
      <c r="D114" t="s">
        <v>41</v>
      </c>
      <c r="E114" t="s">
        <v>71</v>
      </c>
      <c r="F114" t="s">
        <v>153</v>
      </c>
      <c r="G114" t="s">
        <v>82</v>
      </c>
      <c r="H114" t="s">
        <v>138</v>
      </c>
      <c r="I114" t="s">
        <v>27</v>
      </c>
      <c r="J114" t="s">
        <v>304</v>
      </c>
      <c r="K114">
        <v>2021</v>
      </c>
      <c r="L114">
        <v>3</v>
      </c>
      <c r="M114">
        <v>18</v>
      </c>
      <c r="N114" t="s">
        <v>29</v>
      </c>
      <c r="O114">
        <v>2</v>
      </c>
      <c r="P114">
        <v>2</v>
      </c>
      <c r="Q114" t="s">
        <v>31</v>
      </c>
      <c r="R114">
        <v>18</v>
      </c>
      <c r="S114">
        <v>75</v>
      </c>
      <c r="T114">
        <v>63101</v>
      </c>
      <c r="U114">
        <v>8800</v>
      </c>
      <c r="V114">
        <v>3.1</v>
      </c>
      <c r="W114" t="s">
        <v>31</v>
      </c>
    </row>
    <row r="115" spans="1:23" x14ac:dyDescent="0.3">
      <c r="A115" t="s">
        <v>305</v>
      </c>
      <c r="B115" t="s">
        <v>1895</v>
      </c>
      <c r="C115">
        <v>45</v>
      </c>
      <c r="D115" t="s">
        <v>33</v>
      </c>
      <c r="E115" t="s">
        <v>56</v>
      </c>
      <c r="F115" t="s">
        <v>35</v>
      </c>
      <c r="G115" t="s">
        <v>36</v>
      </c>
      <c r="H115" t="s">
        <v>76</v>
      </c>
      <c r="I115" t="s">
        <v>27</v>
      </c>
      <c r="J115" t="s">
        <v>306</v>
      </c>
      <c r="K115">
        <v>2021</v>
      </c>
      <c r="L115">
        <v>3</v>
      </c>
      <c r="M115">
        <v>18</v>
      </c>
      <c r="N115" t="s">
        <v>29</v>
      </c>
      <c r="O115">
        <v>4</v>
      </c>
      <c r="P115">
        <v>1</v>
      </c>
      <c r="Q115" t="s">
        <v>30</v>
      </c>
      <c r="R115">
        <v>12</v>
      </c>
      <c r="S115">
        <v>42</v>
      </c>
      <c r="T115">
        <v>62310</v>
      </c>
      <c r="U115">
        <v>7400</v>
      </c>
      <c r="V115">
        <v>10.3</v>
      </c>
      <c r="W115" t="s">
        <v>30</v>
      </c>
    </row>
    <row r="116" spans="1:23" x14ac:dyDescent="0.3">
      <c r="A116" t="s">
        <v>307</v>
      </c>
      <c r="B116" t="s">
        <v>1896</v>
      </c>
      <c r="C116">
        <v>37</v>
      </c>
      <c r="D116" t="s">
        <v>41</v>
      </c>
      <c r="E116" t="s">
        <v>34</v>
      </c>
      <c r="F116" t="s">
        <v>51</v>
      </c>
      <c r="G116" t="s">
        <v>63</v>
      </c>
      <c r="H116" t="s">
        <v>64</v>
      </c>
      <c r="I116" t="s">
        <v>27</v>
      </c>
      <c r="J116" t="s">
        <v>308</v>
      </c>
      <c r="K116">
        <v>2023</v>
      </c>
      <c r="L116">
        <v>1</v>
      </c>
      <c r="M116">
        <v>11</v>
      </c>
      <c r="N116" t="s">
        <v>29</v>
      </c>
      <c r="O116">
        <v>3</v>
      </c>
      <c r="P116">
        <v>3</v>
      </c>
      <c r="Q116" t="s">
        <v>30</v>
      </c>
      <c r="R116">
        <v>23</v>
      </c>
      <c r="S116">
        <v>53</v>
      </c>
      <c r="T116">
        <v>62618</v>
      </c>
      <c r="U116">
        <v>8100</v>
      </c>
      <c r="V116">
        <v>4.2</v>
      </c>
      <c r="W116" t="s">
        <v>31</v>
      </c>
    </row>
    <row r="117" spans="1:23" x14ac:dyDescent="0.3">
      <c r="A117" t="s">
        <v>309</v>
      </c>
      <c r="B117" t="s">
        <v>1882</v>
      </c>
      <c r="C117">
        <v>44</v>
      </c>
      <c r="D117" t="s">
        <v>41</v>
      </c>
      <c r="E117" t="s">
        <v>61</v>
      </c>
      <c r="F117" t="s">
        <v>42</v>
      </c>
      <c r="G117" t="s">
        <v>63</v>
      </c>
      <c r="H117" t="s">
        <v>310</v>
      </c>
      <c r="I117" t="s">
        <v>79</v>
      </c>
      <c r="J117" t="s">
        <v>311</v>
      </c>
      <c r="K117">
        <v>2024</v>
      </c>
      <c r="L117">
        <v>0</v>
      </c>
      <c r="M117">
        <v>17</v>
      </c>
      <c r="N117" t="s">
        <v>98</v>
      </c>
      <c r="O117">
        <v>1</v>
      </c>
      <c r="P117">
        <v>2</v>
      </c>
      <c r="Q117" t="s">
        <v>31</v>
      </c>
      <c r="R117">
        <v>6</v>
      </c>
      <c r="S117">
        <v>25</v>
      </c>
      <c r="T117">
        <v>51884</v>
      </c>
      <c r="U117">
        <v>3000</v>
      </c>
      <c r="V117">
        <v>11.5</v>
      </c>
      <c r="W117" t="s">
        <v>31</v>
      </c>
    </row>
    <row r="118" spans="1:23" x14ac:dyDescent="0.3">
      <c r="A118" t="s">
        <v>312</v>
      </c>
      <c r="B118" t="s">
        <v>1820</v>
      </c>
      <c r="C118">
        <v>36</v>
      </c>
      <c r="D118" t="s">
        <v>41</v>
      </c>
      <c r="E118" t="s">
        <v>61</v>
      </c>
      <c r="F118" t="s">
        <v>51</v>
      </c>
      <c r="G118" t="s">
        <v>43</v>
      </c>
      <c r="H118" t="s">
        <v>72</v>
      </c>
      <c r="I118" t="s">
        <v>27</v>
      </c>
      <c r="J118" t="s">
        <v>313</v>
      </c>
      <c r="K118">
        <v>2023</v>
      </c>
      <c r="L118">
        <v>1</v>
      </c>
      <c r="M118">
        <v>9</v>
      </c>
      <c r="N118" t="s">
        <v>29</v>
      </c>
      <c r="O118">
        <v>4</v>
      </c>
      <c r="P118">
        <v>5</v>
      </c>
      <c r="Q118" t="s">
        <v>31</v>
      </c>
      <c r="R118">
        <v>17</v>
      </c>
      <c r="S118">
        <v>44</v>
      </c>
      <c r="T118">
        <v>136207</v>
      </c>
      <c r="U118">
        <v>19100</v>
      </c>
      <c r="V118">
        <v>11.2</v>
      </c>
      <c r="W118" t="s">
        <v>31</v>
      </c>
    </row>
    <row r="119" spans="1:23" x14ac:dyDescent="0.3">
      <c r="A119" t="s">
        <v>314</v>
      </c>
      <c r="B119" t="s">
        <v>1812</v>
      </c>
      <c r="C119">
        <v>35</v>
      </c>
      <c r="D119" t="s">
        <v>41</v>
      </c>
      <c r="E119" t="s">
        <v>34</v>
      </c>
      <c r="F119" t="s">
        <v>153</v>
      </c>
      <c r="G119" t="s">
        <v>25</v>
      </c>
      <c r="H119" t="s">
        <v>58</v>
      </c>
      <c r="I119" t="s">
        <v>27</v>
      </c>
      <c r="J119" t="s">
        <v>315</v>
      </c>
      <c r="K119">
        <v>2021</v>
      </c>
      <c r="L119">
        <v>3</v>
      </c>
      <c r="M119">
        <v>13</v>
      </c>
      <c r="N119" t="s">
        <v>98</v>
      </c>
      <c r="O119">
        <v>1</v>
      </c>
      <c r="P119">
        <v>4</v>
      </c>
      <c r="Q119" t="s">
        <v>30</v>
      </c>
      <c r="R119">
        <v>4</v>
      </c>
      <c r="S119">
        <v>22</v>
      </c>
      <c r="T119">
        <v>92503</v>
      </c>
      <c r="U119">
        <v>5700</v>
      </c>
      <c r="V119">
        <v>5.7</v>
      </c>
      <c r="W119" t="s">
        <v>31</v>
      </c>
    </row>
    <row r="120" spans="1:23" x14ac:dyDescent="0.3">
      <c r="A120" t="s">
        <v>316</v>
      </c>
      <c r="B120" t="s">
        <v>1897</v>
      </c>
      <c r="C120">
        <v>37</v>
      </c>
      <c r="D120" t="s">
        <v>41</v>
      </c>
      <c r="E120" t="s">
        <v>56</v>
      </c>
      <c r="F120" t="s">
        <v>62</v>
      </c>
      <c r="G120" t="s">
        <v>100</v>
      </c>
      <c r="H120" t="s">
        <v>150</v>
      </c>
      <c r="I120" t="s">
        <v>27</v>
      </c>
      <c r="J120" t="s">
        <v>217</v>
      </c>
      <c r="K120">
        <v>2023</v>
      </c>
      <c r="L120">
        <v>1</v>
      </c>
      <c r="M120">
        <v>9</v>
      </c>
      <c r="N120" t="s">
        <v>29</v>
      </c>
      <c r="O120">
        <v>5</v>
      </c>
      <c r="P120">
        <v>3</v>
      </c>
      <c r="Q120" t="s">
        <v>31</v>
      </c>
      <c r="R120">
        <v>17</v>
      </c>
      <c r="S120">
        <v>76</v>
      </c>
      <c r="T120">
        <v>62853</v>
      </c>
      <c r="U120">
        <v>6700</v>
      </c>
      <c r="V120">
        <v>6.6</v>
      </c>
      <c r="W120" t="s">
        <v>31</v>
      </c>
    </row>
    <row r="121" spans="1:23" x14ac:dyDescent="0.3">
      <c r="A121" t="s">
        <v>317</v>
      </c>
      <c r="B121" t="s">
        <v>1898</v>
      </c>
      <c r="C121">
        <v>37</v>
      </c>
      <c r="D121" t="s">
        <v>41</v>
      </c>
      <c r="E121" t="s">
        <v>34</v>
      </c>
      <c r="F121" t="s">
        <v>62</v>
      </c>
      <c r="G121" t="s">
        <v>36</v>
      </c>
      <c r="H121" t="s">
        <v>68</v>
      </c>
      <c r="I121" t="s">
        <v>27</v>
      </c>
      <c r="J121" t="s">
        <v>318</v>
      </c>
      <c r="K121">
        <v>2021</v>
      </c>
      <c r="L121">
        <v>3</v>
      </c>
      <c r="M121">
        <v>11</v>
      </c>
      <c r="N121" t="s">
        <v>39</v>
      </c>
      <c r="O121">
        <v>3</v>
      </c>
      <c r="P121">
        <v>2</v>
      </c>
      <c r="Q121" t="s">
        <v>30</v>
      </c>
      <c r="R121">
        <v>23</v>
      </c>
      <c r="S121">
        <v>3</v>
      </c>
      <c r="T121">
        <v>91602</v>
      </c>
      <c r="U121">
        <v>2900</v>
      </c>
      <c r="V121">
        <v>5.3</v>
      </c>
      <c r="W121" t="s">
        <v>31</v>
      </c>
    </row>
    <row r="122" spans="1:23" x14ac:dyDescent="0.3">
      <c r="A122" t="s">
        <v>319</v>
      </c>
      <c r="B122" t="s">
        <v>1899</v>
      </c>
      <c r="C122">
        <v>27</v>
      </c>
      <c r="D122" t="s">
        <v>22</v>
      </c>
      <c r="E122" t="s">
        <v>34</v>
      </c>
      <c r="F122" t="s">
        <v>47</v>
      </c>
      <c r="G122" t="s">
        <v>52</v>
      </c>
      <c r="H122" t="s">
        <v>320</v>
      </c>
      <c r="I122" t="s">
        <v>79</v>
      </c>
      <c r="J122" t="s">
        <v>321</v>
      </c>
      <c r="K122">
        <v>2024</v>
      </c>
      <c r="L122">
        <v>0</v>
      </c>
      <c r="M122">
        <v>2</v>
      </c>
      <c r="N122" t="s">
        <v>98</v>
      </c>
      <c r="O122">
        <v>5</v>
      </c>
      <c r="P122">
        <v>2</v>
      </c>
      <c r="Q122" t="s">
        <v>31</v>
      </c>
      <c r="R122">
        <v>9</v>
      </c>
      <c r="S122">
        <v>12</v>
      </c>
      <c r="T122">
        <v>59572</v>
      </c>
      <c r="U122">
        <v>4400</v>
      </c>
      <c r="V122">
        <v>8.6999999999999993</v>
      </c>
      <c r="W122" t="s">
        <v>31</v>
      </c>
    </row>
    <row r="123" spans="1:23" x14ac:dyDescent="0.3">
      <c r="A123" t="s">
        <v>322</v>
      </c>
      <c r="B123" t="s">
        <v>1900</v>
      </c>
      <c r="C123">
        <v>28</v>
      </c>
      <c r="D123" t="s">
        <v>41</v>
      </c>
      <c r="E123" t="s">
        <v>34</v>
      </c>
      <c r="F123" t="s">
        <v>57</v>
      </c>
      <c r="G123" t="s">
        <v>82</v>
      </c>
      <c r="H123" t="s">
        <v>323</v>
      </c>
      <c r="I123" t="s">
        <v>27</v>
      </c>
      <c r="J123" t="s">
        <v>324</v>
      </c>
      <c r="K123">
        <v>2022</v>
      </c>
      <c r="L123">
        <v>2</v>
      </c>
      <c r="M123">
        <v>3</v>
      </c>
      <c r="N123" t="s">
        <v>29</v>
      </c>
      <c r="O123">
        <v>5</v>
      </c>
      <c r="P123">
        <v>5</v>
      </c>
      <c r="Q123" t="s">
        <v>31</v>
      </c>
      <c r="R123">
        <v>19</v>
      </c>
      <c r="S123">
        <v>9</v>
      </c>
      <c r="T123">
        <v>65125</v>
      </c>
      <c r="U123">
        <v>9000</v>
      </c>
      <c r="V123">
        <v>7.5</v>
      </c>
      <c r="W123" t="s">
        <v>31</v>
      </c>
    </row>
    <row r="124" spans="1:23" x14ac:dyDescent="0.3">
      <c r="A124" t="s">
        <v>325</v>
      </c>
      <c r="B124" t="s">
        <v>1901</v>
      </c>
      <c r="C124">
        <v>36</v>
      </c>
      <c r="D124" t="s">
        <v>33</v>
      </c>
      <c r="E124" t="s">
        <v>56</v>
      </c>
      <c r="F124" t="s">
        <v>51</v>
      </c>
      <c r="G124" t="s">
        <v>52</v>
      </c>
      <c r="H124" t="s">
        <v>320</v>
      </c>
      <c r="I124" t="s">
        <v>27</v>
      </c>
      <c r="J124" t="s">
        <v>284</v>
      </c>
      <c r="K124">
        <v>2024</v>
      </c>
      <c r="L124">
        <v>0</v>
      </c>
      <c r="M124">
        <v>14</v>
      </c>
      <c r="N124" t="s">
        <v>85</v>
      </c>
      <c r="O124">
        <v>2</v>
      </c>
      <c r="P124">
        <v>1</v>
      </c>
      <c r="Q124" t="s">
        <v>31</v>
      </c>
      <c r="R124">
        <v>15</v>
      </c>
      <c r="S124">
        <v>42</v>
      </c>
      <c r="T124">
        <v>54881</v>
      </c>
      <c r="U124">
        <v>9700</v>
      </c>
      <c r="V124">
        <v>7.9</v>
      </c>
      <c r="W124" t="s">
        <v>31</v>
      </c>
    </row>
    <row r="125" spans="1:23" x14ac:dyDescent="0.3">
      <c r="A125" t="s">
        <v>326</v>
      </c>
      <c r="B125" t="s">
        <v>1902</v>
      </c>
      <c r="C125">
        <v>30</v>
      </c>
      <c r="D125" t="s">
        <v>41</v>
      </c>
      <c r="E125" t="s">
        <v>71</v>
      </c>
      <c r="F125" t="s">
        <v>137</v>
      </c>
      <c r="G125" t="s">
        <v>82</v>
      </c>
      <c r="H125" t="s">
        <v>83</v>
      </c>
      <c r="I125" t="s">
        <v>27</v>
      </c>
      <c r="J125" t="s">
        <v>327</v>
      </c>
      <c r="K125">
        <v>2024</v>
      </c>
      <c r="L125">
        <v>0</v>
      </c>
      <c r="M125">
        <v>6</v>
      </c>
      <c r="N125" t="s">
        <v>85</v>
      </c>
      <c r="O125">
        <v>2</v>
      </c>
      <c r="P125">
        <v>3</v>
      </c>
      <c r="Q125" t="s">
        <v>31</v>
      </c>
      <c r="R125">
        <v>0</v>
      </c>
      <c r="S125">
        <v>41</v>
      </c>
      <c r="T125">
        <v>50769</v>
      </c>
      <c r="U125">
        <v>9900</v>
      </c>
      <c r="V125">
        <v>8.1999999999999993</v>
      </c>
      <c r="W125" t="s">
        <v>31</v>
      </c>
    </row>
    <row r="126" spans="1:23" x14ac:dyDescent="0.3">
      <c r="A126" t="s">
        <v>328</v>
      </c>
      <c r="B126" t="s">
        <v>1903</v>
      </c>
      <c r="C126">
        <v>38</v>
      </c>
      <c r="D126" t="s">
        <v>41</v>
      </c>
      <c r="E126" t="s">
        <v>34</v>
      </c>
      <c r="F126" t="s">
        <v>51</v>
      </c>
      <c r="G126" t="s">
        <v>36</v>
      </c>
      <c r="H126" t="s">
        <v>37</v>
      </c>
      <c r="I126" t="s">
        <v>27</v>
      </c>
      <c r="J126" t="s">
        <v>329</v>
      </c>
      <c r="K126">
        <v>2022</v>
      </c>
      <c r="L126">
        <v>2</v>
      </c>
      <c r="M126">
        <v>12</v>
      </c>
      <c r="N126" t="s">
        <v>29</v>
      </c>
      <c r="O126">
        <v>5</v>
      </c>
      <c r="P126">
        <v>5</v>
      </c>
      <c r="Q126" t="s">
        <v>31</v>
      </c>
      <c r="R126">
        <v>10</v>
      </c>
      <c r="S126">
        <v>55</v>
      </c>
      <c r="T126">
        <v>70136</v>
      </c>
      <c r="U126">
        <v>7800</v>
      </c>
      <c r="V126">
        <v>3.8</v>
      </c>
      <c r="W126" t="s">
        <v>30</v>
      </c>
    </row>
    <row r="127" spans="1:23" x14ac:dyDescent="0.3">
      <c r="A127" t="s">
        <v>330</v>
      </c>
      <c r="B127" t="s">
        <v>1904</v>
      </c>
      <c r="C127">
        <v>35</v>
      </c>
      <c r="D127" t="s">
        <v>41</v>
      </c>
      <c r="E127" t="s">
        <v>34</v>
      </c>
      <c r="F127" t="s">
        <v>137</v>
      </c>
      <c r="G127" t="s">
        <v>43</v>
      </c>
      <c r="H127" t="s">
        <v>44</v>
      </c>
      <c r="I127" t="s">
        <v>27</v>
      </c>
      <c r="J127" t="s">
        <v>331</v>
      </c>
      <c r="K127">
        <v>2023</v>
      </c>
      <c r="L127">
        <v>1</v>
      </c>
      <c r="M127">
        <v>13</v>
      </c>
      <c r="N127" t="s">
        <v>29</v>
      </c>
      <c r="O127">
        <v>3</v>
      </c>
      <c r="P127">
        <v>5</v>
      </c>
      <c r="Q127" t="s">
        <v>31</v>
      </c>
      <c r="R127">
        <v>19</v>
      </c>
      <c r="S127">
        <v>6</v>
      </c>
      <c r="T127">
        <v>87197</v>
      </c>
      <c r="U127">
        <v>8500</v>
      </c>
      <c r="V127">
        <v>9.1</v>
      </c>
      <c r="W127" t="s">
        <v>31</v>
      </c>
    </row>
    <row r="128" spans="1:23" x14ac:dyDescent="0.3">
      <c r="A128" t="s">
        <v>332</v>
      </c>
      <c r="B128" t="s">
        <v>1905</v>
      </c>
      <c r="C128">
        <v>32</v>
      </c>
      <c r="D128" t="s">
        <v>33</v>
      </c>
      <c r="E128" t="s">
        <v>34</v>
      </c>
      <c r="F128" t="s">
        <v>47</v>
      </c>
      <c r="G128" t="s">
        <v>36</v>
      </c>
      <c r="H128" t="s">
        <v>76</v>
      </c>
      <c r="I128" t="s">
        <v>27</v>
      </c>
      <c r="J128" t="s">
        <v>333</v>
      </c>
      <c r="K128">
        <v>2021</v>
      </c>
      <c r="L128">
        <v>3</v>
      </c>
      <c r="M128">
        <v>4</v>
      </c>
      <c r="N128" t="s">
        <v>29</v>
      </c>
      <c r="O128">
        <v>1</v>
      </c>
      <c r="P128">
        <v>5</v>
      </c>
      <c r="Q128" t="s">
        <v>31</v>
      </c>
      <c r="R128">
        <v>8</v>
      </c>
      <c r="S128">
        <v>79</v>
      </c>
      <c r="T128">
        <v>53099</v>
      </c>
      <c r="U128">
        <v>6300</v>
      </c>
      <c r="V128">
        <v>4.8</v>
      </c>
      <c r="W128" t="s">
        <v>31</v>
      </c>
    </row>
    <row r="129" spans="1:23" x14ac:dyDescent="0.3">
      <c r="A129" t="s">
        <v>334</v>
      </c>
      <c r="B129" t="s">
        <v>1808</v>
      </c>
      <c r="C129">
        <v>33</v>
      </c>
      <c r="D129" t="s">
        <v>41</v>
      </c>
      <c r="E129" t="s">
        <v>34</v>
      </c>
      <c r="F129" t="s">
        <v>35</v>
      </c>
      <c r="G129" t="s">
        <v>63</v>
      </c>
      <c r="H129" t="s">
        <v>64</v>
      </c>
      <c r="I129" t="s">
        <v>27</v>
      </c>
      <c r="J129" t="s">
        <v>335</v>
      </c>
      <c r="K129">
        <v>2021</v>
      </c>
      <c r="L129">
        <v>3</v>
      </c>
      <c r="M129">
        <v>4</v>
      </c>
      <c r="N129" t="s">
        <v>98</v>
      </c>
      <c r="O129">
        <v>4</v>
      </c>
      <c r="P129">
        <v>2</v>
      </c>
      <c r="Q129" t="s">
        <v>31</v>
      </c>
      <c r="R129">
        <v>22</v>
      </c>
      <c r="S129">
        <v>61</v>
      </c>
      <c r="T129">
        <v>41545</v>
      </c>
      <c r="U129">
        <v>3300</v>
      </c>
      <c r="V129">
        <v>14.7</v>
      </c>
      <c r="W129" t="s">
        <v>31</v>
      </c>
    </row>
    <row r="130" spans="1:23" x14ac:dyDescent="0.3">
      <c r="A130" t="s">
        <v>336</v>
      </c>
      <c r="B130" t="s">
        <v>1903</v>
      </c>
      <c r="C130">
        <v>48</v>
      </c>
      <c r="D130" t="s">
        <v>41</v>
      </c>
      <c r="E130" t="s">
        <v>34</v>
      </c>
      <c r="F130" t="s">
        <v>51</v>
      </c>
      <c r="G130" t="s">
        <v>63</v>
      </c>
      <c r="H130" t="s">
        <v>337</v>
      </c>
      <c r="I130" t="s">
        <v>65</v>
      </c>
      <c r="J130" t="s">
        <v>338</v>
      </c>
      <c r="K130">
        <v>2021</v>
      </c>
      <c r="L130">
        <v>3</v>
      </c>
      <c r="M130">
        <v>19</v>
      </c>
      <c r="N130" t="s">
        <v>98</v>
      </c>
      <c r="O130">
        <v>3</v>
      </c>
      <c r="P130">
        <v>3</v>
      </c>
      <c r="Q130" t="s">
        <v>31</v>
      </c>
      <c r="R130">
        <v>14</v>
      </c>
      <c r="S130">
        <v>6</v>
      </c>
      <c r="T130">
        <v>37951</v>
      </c>
      <c r="U130">
        <v>2200</v>
      </c>
      <c r="V130">
        <v>11.7</v>
      </c>
      <c r="W130" t="s">
        <v>31</v>
      </c>
    </row>
    <row r="131" spans="1:23" x14ac:dyDescent="0.3">
      <c r="A131" t="s">
        <v>339</v>
      </c>
      <c r="B131" t="s">
        <v>1906</v>
      </c>
      <c r="C131">
        <v>39</v>
      </c>
      <c r="D131" t="s">
        <v>33</v>
      </c>
      <c r="E131" t="s">
        <v>71</v>
      </c>
      <c r="F131" t="s">
        <v>24</v>
      </c>
      <c r="G131" t="s">
        <v>52</v>
      </c>
      <c r="H131" t="s">
        <v>132</v>
      </c>
      <c r="I131" t="s">
        <v>27</v>
      </c>
      <c r="J131" t="s">
        <v>340</v>
      </c>
      <c r="K131">
        <v>2023</v>
      </c>
      <c r="L131">
        <v>1</v>
      </c>
      <c r="M131">
        <v>11</v>
      </c>
      <c r="N131" t="s">
        <v>98</v>
      </c>
      <c r="O131">
        <v>4</v>
      </c>
      <c r="P131">
        <v>5</v>
      </c>
      <c r="Q131" t="s">
        <v>31</v>
      </c>
      <c r="R131">
        <v>8</v>
      </c>
      <c r="S131">
        <v>11</v>
      </c>
      <c r="T131">
        <v>51225</v>
      </c>
      <c r="U131">
        <v>4100</v>
      </c>
      <c r="V131">
        <v>3.1</v>
      </c>
      <c r="W131" t="s">
        <v>31</v>
      </c>
    </row>
    <row r="132" spans="1:23" x14ac:dyDescent="0.3">
      <c r="A132" t="s">
        <v>341</v>
      </c>
      <c r="B132" t="s">
        <v>1907</v>
      </c>
      <c r="C132">
        <v>37</v>
      </c>
      <c r="D132" t="s">
        <v>33</v>
      </c>
      <c r="E132" t="s">
        <v>71</v>
      </c>
      <c r="F132" t="s">
        <v>137</v>
      </c>
      <c r="G132" t="s">
        <v>43</v>
      </c>
      <c r="H132" t="s">
        <v>96</v>
      </c>
      <c r="I132" t="s">
        <v>65</v>
      </c>
      <c r="J132" t="s">
        <v>342</v>
      </c>
      <c r="K132">
        <v>2024</v>
      </c>
      <c r="L132">
        <v>0</v>
      </c>
      <c r="M132">
        <v>9</v>
      </c>
      <c r="N132" t="s">
        <v>98</v>
      </c>
      <c r="O132">
        <v>2</v>
      </c>
      <c r="P132">
        <v>1</v>
      </c>
      <c r="Q132" t="s">
        <v>31</v>
      </c>
      <c r="R132">
        <v>13</v>
      </c>
      <c r="S132">
        <v>75</v>
      </c>
      <c r="T132">
        <v>132684</v>
      </c>
      <c r="U132">
        <v>9800</v>
      </c>
      <c r="V132">
        <v>12.6</v>
      </c>
      <c r="W132" t="s">
        <v>31</v>
      </c>
    </row>
    <row r="133" spans="1:23" x14ac:dyDescent="0.3">
      <c r="A133" t="s">
        <v>343</v>
      </c>
      <c r="B133" t="s">
        <v>1908</v>
      </c>
      <c r="C133">
        <v>34</v>
      </c>
      <c r="D133" t="s">
        <v>33</v>
      </c>
      <c r="E133" t="s">
        <v>56</v>
      </c>
      <c r="F133" t="s">
        <v>137</v>
      </c>
      <c r="G133" t="s">
        <v>36</v>
      </c>
      <c r="H133" t="s">
        <v>89</v>
      </c>
      <c r="I133" t="s">
        <v>27</v>
      </c>
      <c r="J133" t="s">
        <v>344</v>
      </c>
      <c r="K133">
        <v>2022</v>
      </c>
      <c r="L133">
        <v>2</v>
      </c>
      <c r="M133">
        <v>12</v>
      </c>
      <c r="N133" t="s">
        <v>39</v>
      </c>
      <c r="O133">
        <v>3</v>
      </c>
      <c r="P133">
        <v>1</v>
      </c>
      <c r="Q133" t="s">
        <v>31</v>
      </c>
      <c r="R133">
        <v>22</v>
      </c>
      <c r="S133">
        <v>67</v>
      </c>
      <c r="T133">
        <v>92662</v>
      </c>
      <c r="U133">
        <v>2400</v>
      </c>
      <c r="V133">
        <v>14</v>
      </c>
      <c r="W133" t="s">
        <v>30</v>
      </c>
    </row>
    <row r="134" spans="1:23" x14ac:dyDescent="0.3">
      <c r="A134" t="s">
        <v>345</v>
      </c>
      <c r="B134" t="s">
        <v>1798</v>
      </c>
      <c r="C134">
        <v>37</v>
      </c>
      <c r="D134" t="s">
        <v>22</v>
      </c>
      <c r="E134" t="s">
        <v>34</v>
      </c>
      <c r="F134" t="s">
        <v>137</v>
      </c>
      <c r="G134" t="s">
        <v>63</v>
      </c>
      <c r="H134" t="s">
        <v>64</v>
      </c>
      <c r="I134" t="s">
        <v>27</v>
      </c>
      <c r="J134" t="s">
        <v>219</v>
      </c>
      <c r="K134">
        <v>2021</v>
      </c>
      <c r="L134">
        <v>3</v>
      </c>
      <c r="M134">
        <v>8</v>
      </c>
      <c r="N134" t="s">
        <v>29</v>
      </c>
      <c r="O134">
        <v>2</v>
      </c>
      <c r="P134">
        <v>5</v>
      </c>
      <c r="Q134" t="s">
        <v>31</v>
      </c>
      <c r="R134">
        <v>15</v>
      </c>
      <c r="S134">
        <v>63</v>
      </c>
      <c r="T134">
        <v>57160</v>
      </c>
      <c r="U134">
        <v>5900</v>
      </c>
      <c r="V134">
        <v>12.9</v>
      </c>
      <c r="W134" t="s">
        <v>31</v>
      </c>
    </row>
    <row r="135" spans="1:23" x14ac:dyDescent="0.3">
      <c r="A135" t="s">
        <v>346</v>
      </c>
      <c r="B135" t="s">
        <v>1909</v>
      </c>
      <c r="C135">
        <v>32</v>
      </c>
      <c r="D135" t="s">
        <v>41</v>
      </c>
      <c r="E135" t="s">
        <v>34</v>
      </c>
      <c r="F135" t="s">
        <v>57</v>
      </c>
      <c r="G135" t="s">
        <v>117</v>
      </c>
      <c r="H135" t="s">
        <v>198</v>
      </c>
      <c r="I135" t="s">
        <v>79</v>
      </c>
      <c r="J135" t="s">
        <v>347</v>
      </c>
      <c r="K135">
        <v>2022</v>
      </c>
      <c r="L135">
        <v>2</v>
      </c>
      <c r="M135">
        <v>2</v>
      </c>
      <c r="N135" t="s">
        <v>29</v>
      </c>
      <c r="O135">
        <v>4</v>
      </c>
      <c r="P135">
        <v>3</v>
      </c>
      <c r="Q135" t="s">
        <v>31</v>
      </c>
      <c r="R135">
        <v>3</v>
      </c>
      <c r="S135">
        <v>63</v>
      </c>
      <c r="T135">
        <v>97160</v>
      </c>
      <c r="U135">
        <v>13100</v>
      </c>
      <c r="V135">
        <v>3.9</v>
      </c>
      <c r="W135" t="s">
        <v>31</v>
      </c>
    </row>
    <row r="136" spans="1:23" x14ac:dyDescent="0.3">
      <c r="A136" t="s">
        <v>348</v>
      </c>
      <c r="B136" t="s">
        <v>1910</v>
      </c>
      <c r="C136">
        <v>46</v>
      </c>
      <c r="D136" t="s">
        <v>41</v>
      </c>
      <c r="E136" t="s">
        <v>56</v>
      </c>
      <c r="F136" t="s">
        <v>75</v>
      </c>
      <c r="G136" t="s">
        <v>36</v>
      </c>
      <c r="H136" t="s">
        <v>76</v>
      </c>
      <c r="I136" t="s">
        <v>79</v>
      </c>
      <c r="J136" t="s">
        <v>349</v>
      </c>
      <c r="K136">
        <v>2021</v>
      </c>
      <c r="L136">
        <v>3</v>
      </c>
      <c r="M136">
        <v>20</v>
      </c>
      <c r="N136" t="s">
        <v>29</v>
      </c>
      <c r="O136">
        <v>3</v>
      </c>
      <c r="P136">
        <v>5</v>
      </c>
      <c r="Q136" t="s">
        <v>30</v>
      </c>
      <c r="R136">
        <v>24</v>
      </c>
      <c r="S136">
        <v>79</v>
      </c>
      <c r="T136">
        <v>81853</v>
      </c>
      <c r="U136">
        <v>10500</v>
      </c>
      <c r="V136">
        <v>14.4</v>
      </c>
      <c r="W136" t="s">
        <v>31</v>
      </c>
    </row>
    <row r="137" spans="1:23" x14ac:dyDescent="0.3">
      <c r="A137" t="s">
        <v>350</v>
      </c>
      <c r="B137" t="s">
        <v>1861</v>
      </c>
      <c r="C137">
        <v>30</v>
      </c>
      <c r="D137" t="s">
        <v>33</v>
      </c>
      <c r="E137" t="s">
        <v>34</v>
      </c>
      <c r="F137" t="s">
        <v>35</v>
      </c>
      <c r="G137" t="s">
        <v>82</v>
      </c>
      <c r="H137" t="s">
        <v>323</v>
      </c>
      <c r="I137" t="s">
        <v>79</v>
      </c>
      <c r="J137" t="s">
        <v>351</v>
      </c>
      <c r="K137">
        <v>2024</v>
      </c>
      <c r="L137">
        <v>0</v>
      </c>
      <c r="M137">
        <v>8</v>
      </c>
      <c r="N137" t="s">
        <v>39</v>
      </c>
      <c r="O137">
        <v>4</v>
      </c>
      <c r="P137">
        <v>1</v>
      </c>
      <c r="Q137" t="s">
        <v>30</v>
      </c>
      <c r="R137">
        <v>8</v>
      </c>
      <c r="S137">
        <v>78</v>
      </c>
      <c r="T137">
        <v>86527</v>
      </c>
      <c r="U137">
        <v>2400</v>
      </c>
      <c r="V137">
        <v>9.3000000000000007</v>
      </c>
      <c r="W137" t="s">
        <v>30</v>
      </c>
    </row>
    <row r="138" spans="1:23" x14ac:dyDescent="0.3">
      <c r="A138" t="s">
        <v>352</v>
      </c>
      <c r="B138" t="s">
        <v>1911</v>
      </c>
      <c r="C138">
        <v>34</v>
      </c>
      <c r="D138" t="s">
        <v>41</v>
      </c>
      <c r="E138" t="s">
        <v>34</v>
      </c>
      <c r="F138" t="s">
        <v>51</v>
      </c>
      <c r="G138" t="s">
        <v>36</v>
      </c>
      <c r="H138" t="s">
        <v>37</v>
      </c>
      <c r="I138" t="s">
        <v>27</v>
      </c>
      <c r="J138" t="s">
        <v>353</v>
      </c>
      <c r="K138">
        <v>2024</v>
      </c>
      <c r="L138">
        <v>0</v>
      </c>
      <c r="M138">
        <v>7</v>
      </c>
      <c r="N138" t="s">
        <v>85</v>
      </c>
      <c r="O138">
        <v>5</v>
      </c>
      <c r="P138">
        <v>2</v>
      </c>
      <c r="Q138" t="s">
        <v>31</v>
      </c>
      <c r="R138">
        <v>15</v>
      </c>
      <c r="S138">
        <v>0</v>
      </c>
      <c r="T138">
        <v>72162</v>
      </c>
      <c r="U138">
        <v>15200</v>
      </c>
      <c r="V138">
        <v>11.1</v>
      </c>
      <c r="W138" t="s">
        <v>31</v>
      </c>
    </row>
    <row r="139" spans="1:23" x14ac:dyDescent="0.3">
      <c r="A139" t="s">
        <v>354</v>
      </c>
      <c r="B139" t="s">
        <v>1912</v>
      </c>
      <c r="C139">
        <v>30</v>
      </c>
      <c r="D139" t="s">
        <v>33</v>
      </c>
      <c r="E139" t="s">
        <v>71</v>
      </c>
      <c r="F139" t="s">
        <v>153</v>
      </c>
      <c r="G139" t="s">
        <v>52</v>
      </c>
      <c r="H139" t="s">
        <v>132</v>
      </c>
      <c r="I139" t="s">
        <v>65</v>
      </c>
      <c r="J139" t="s">
        <v>355</v>
      </c>
      <c r="K139">
        <v>2024</v>
      </c>
      <c r="L139">
        <v>0</v>
      </c>
      <c r="M139">
        <v>6</v>
      </c>
      <c r="N139" t="s">
        <v>85</v>
      </c>
      <c r="O139">
        <v>2</v>
      </c>
      <c r="P139">
        <v>3</v>
      </c>
      <c r="Q139" t="s">
        <v>31</v>
      </c>
      <c r="R139">
        <v>12</v>
      </c>
      <c r="S139">
        <v>43</v>
      </c>
      <c r="T139">
        <v>53413</v>
      </c>
      <c r="U139">
        <v>11400</v>
      </c>
      <c r="V139">
        <v>10.3</v>
      </c>
      <c r="W139" t="s">
        <v>31</v>
      </c>
    </row>
    <row r="140" spans="1:23" x14ac:dyDescent="0.3">
      <c r="A140" t="s">
        <v>356</v>
      </c>
      <c r="B140" t="s">
        <v>1913</v>
      </c>
      <c r="C140">
        <v>43</v>
      </c>
      <c r="D140" t="s">
        <v>41</v>
      </c>
      <c r="E140" t="s">
        <v>61</v>
      </c>
      <c r="F140" t="s">
        <v>62</v>
      </c>
      <c r="G140" t="s">
        <v>52</v>
      </c>
      <c r="H140" t="s">
        <v>208</v>
      </c>
      <c r="I140" t="s">
        <v>27</v>
      </c>
      <c r="J140" t="s">
        <v>357</v>
      </c>
      <c r="K140">
        <v>2024</v>
      </c>
      <c r="L140">
        <v>0</v>
      </c>
      <c r="M140">
        <v>17</v>
      </c>
      <c r="N140" t="s">
        <v>98</v>
      </c>
      <c r="O140">
        <v>3</v>
      </c>
      <c r="P140">
        <v>2</v>
      </c>
      <c r="Q140" t="s">
        <v>30</v>
      </c>
      <c r="R140">
        <v>22</v>
      </c>
      <c r="S140">
        <v>22</v>
      </c>
      <c r="T140">
        <v>80901</v>
      </c>
      <c r="U140">
        <v>6100</v>
      </c>
      <c r="V140">
        <v>14.2</v>
      </c>
      <c r="W140" t="s">
        <v>31</v>
      </c>
    </row>
    <row r="141" spans="1:23" x14ac:dyDescent="0.3">
      <c r="A141" t="s">
        <v>358</v>
      </c>
      <c r="B141" t="s">
        <v>1914</v>
      </c>
      <c r="C141">
        <v>44</v>
      </c>
      <c r="D141" t="s">
        <v>33</v>
      </c>
      <c r="E141" t="s">
        <v>34</v>
      </c>
      <c r="F141" t="s">
        <v>75</v>
      </c>
      <c r="G141" t="s">
        <v>36</v>
      </c>
      <c r="H141" t="s">
        <v>68</v>
      </c>
      <c r="I141" t="s">
        <v>27</v>
      </c>
      <c r="J141" t="s">
        <v>359</v>
      </c>
      <c r="K141">
        <v>2024</v>
      </c>
      <c r="L141">
        <v>0</v>
      </c>
      <c r="M141">
        <v>14</v>
      </c>
      <c r="N141" t="s">
        <v>98</v>
      </c>
      <c r="O141">
        <v>2</v>
      </c>
      <c r="P141">
        <v>3</v>
      </c>
      <c r="Q141" t="s">
        <v>31</v>
      </c>
      <c r="R141">
        <v>21</v>
      </c>
      <c r="S141">
        <v>32</v>
      </c>
      <c r="T141">
        <v>72681</v>
      </c>
      <c r="U141">
        <v>5100</v>
      </c>
      <c r="V141">
        <v>3.3</v>
      </c>
      <c r="W141" t="s">
        <v>31</v>
      </c>
    </row>
    <row r="142" spans="1:23" x14ac:dyDescent="0.3">
      <c r="A142" t="s">
        <v>360</v>
      </c>
      <c r="B142" t="s">
        <v>1915</v>
      </c>
      <c r="C142">
        <v>40</v>
      </c>
      <c r="D142" t="s">
        <v>33</v>
      </c>
      <c r="E142" t="s">
        <v>34</v>
      </c>
      <c r="F142" t="s">
        <v>42</v>
      </c>
      <c r="G142" t="s">
        <v>82</v>
      </c>
      <c r="H142" t="s">
        <v>83</v>
      </c>
      <c r="I142" t="s">
        <v>27</v>
      </c>
      <c r="J142" t="s">
        <v>361</v>
      </c>
      <c r="K142">
        <v>2023</v>
      </c>
      <c r="L142">
        <v>1</v>
      </c>
      <c r="M142">
        <v>18</v>
      </c>
      <c r="N142" t="s">
        <v>85</v>
      </c>
      <c r="O142">
        <v>5</v>
      </c>
      <c r="P142">
        <v>3</v>
      </c>
      <c r="Q142" t="s">
        <v>31</v>
      </c>
      <c r="R142">
        <v>22</v>
      </c>
      <c r="S142">
        <v>6</v>
      </c>
      <c r="T142">
        <v>74661</v>
      </c>
      <c r="U142">
        <v>17100</v>
      </c>
      <c r="V142">
        <v>11.9</v>
      </c>
      <c r="W142" t="s">
        <v>31</v>
      </c>
    </row>
    <row r="143" spans="1:23" x14ac:dyDescent="0.3">
      <c r="A143" t="s">
        <v>362</v>
      </c>
      <c r="B143" t="s">
        <v>1916</v>
      </c>
      <c r="C143">
        <v>27</v>
      </c>
      <c r="D143" t="s">
        <v>41</v>
      </c>
      <c r="E143" t="s">
        <v>34</v>
      </c>
      <c r="F143" t="s">
        <v>42</v>
      </c>
      <c r="G143" t="s">
        <v>82</v>
      </c>
      <c r="H143" t="s">
        <v>323</v>
      </c>
      <c r="I143" t="s">
        <v>27</v>
      </c>
      <c r="J143" t="s">
        <v>363</v>
      </c>
      <c r="K143">
        <v>2023</v>
      </c>
      <c r="L143">
        <v>1</v>
      </c>
      <c r="M143">
        <v>1</v>
      </c>
      <c r="N143" t="s">
        <v>98</v>
      </c>
      <c r="O143">
        <v>2</v>
      </c>
      <c r="P143">
        <v>2</v>
      </c>
      <c r="Q143" t="s">
        <v>31</v>
      </c>
      <c r="R143">
        <v>9</v>
      </c>
      <c r="S143">
        <v>57</v>
      </c>
      <c r="T143">
        <v>74036</v>
      </c>
      <c r="U143">
        <v>6000</v>
      </c>
      <c r="V143">
        <v>11.5</v>
      </c>
      <c r="W143" t="s">
        <v>31</v>
      </c>
    </row>
    <row r="144" spans="1:23" x14ac:dyDescent="0.3">
      <c r="A144" t="s">
        <v>364</v>
      </c>
      <c r="B144" t="s">
        <v>1917</v>
      </c>
      <c r="C144">
        <v>32</v>
      </c>
      <c r="D144" t="s">
        <v>22</v>
      </c>
      <c r="E144" t="s">
        <v>34</v>
      </c>
      <c r="F144" t="s">
        <v>35</v>
      </c>
      <c r="G144" t="s">
        <v>43</v>
      </c>
      <c r="H144" t="s">
        <v>44</v>
      </c>
      <c r="I144" t="s">
        <v>27</v>
      </c>
      <c r="J144" t="s">
        <v>365</v>
      </c>
      <c r="K144">
        <v>2022</v>
      </c>
      <c r="L144">
        <v>2</v>
      </c>
      <c r="M144">
        <v>4</v>
      </c>
      <c r="N144" t="s">
        <v>29</v>
      </c>
      <c r="O144">
        <v>3</v>
      </c>
      <c r="P144">
        <v>5</v>
      </c>
      <c r="Q144" t="s">
        <v>31</v>
      </c>
      <c r="R144">
        <v>1</v>
      </c>
      <c r="S144">
        <v>80</v>
      </c>
      <c r="T144">
        <v>106583</v>
      </c>
      <c r="U144">
        <v>10900</v>
      </c>
      <c r="V144">
        <v>10</v>
      </c>
      <c r="W144" t="s">
        <v>31</v>
      </c>
    </row>
    <row r="145" spans="1:23" x14ac:dyDescent="0.3">
      <c r="A145" t="s">
        <v>366</v>
      </c>
      <c r="B145" t="s">
        <v>1853</v>
      </c>
      <c r="C145">
        <v>41</v>
      </c>
      <c r="D145" t="s">
        <v>41</v>
      </c>
      <c r="E145" t="s">
        <v>34</v>
      </c>
      <c r="F145" t="s">
        <v>24</v>
      </c>
      <c r="G145" t="s">
        <v>63</v>
      </c>
      <c r="H145" t="s">
        <v>337</v>
      </c>
      <c r="I145" t="s">
        <v>27</v>
      </c>
      <c r="J145" t="s">
        <v>367</v>
      </c>
      <c r="K145">
        <v>2023</v>
      </c>
      <c r="L145">
        <v>1</v>
      </c>
      <c r="M145">
        <v>11</v>
      </c>
      <c r="N145" t="s">
        <v>29</v>
      </c>
      <c r="O145">
        <v>2</v>
      </c>
      <c r="P145">
        <v>3</v>
      </c>
      <c r="Q145" t="s">
        <v>31</v>
      </c>
      <c r="R145">
        <v>10</v>
      </c>
      <c r="S145">
        <v>46</v>
      </c>
      <c r="T145">
        <v>41025</v>
      </c>
      <c r="U145">
        <v>5500</v>
      </c>
      <c r="V145">
        <v>4.9000000000000004</v>
      </c>
      <c r="W145" t="s">
        <v>31</v>
      </c>
    </row>
    <row r="146" spans="1:23" x14ac:dyDescent="0.3">
      <c r="A146" t="s">
        <v>368</v>
      </c>
      <c r="B146" t="s">
        <v>1806</v>
      </c>
      <c r="C146">
        <v>24</v>
      </c>
      <c r="D146" t="s">
        <v>41</v>
      </c>
      <c r="E146" t="s">
        <v>71</v>
      </c>
      <c r="F146" t="s">
        <v>24</v>
      </c>
      <c r="G146" t="s">
        <v>43</v>
      </c>
      <c r="H146" t="s">
        <v>96</v>
      </c>
      <c r="I146" t="s">
        <v>27</v>
      </c>
      <c r="J146" t="s">
        <v>369</v>
      </c>
      <c r="K146">
        <v>2024</v>
      </c>
      <c r="L146">
        <v>0</v>
      </c>
      <c r="M146">
        <v>1</v>
      </c>
      <c r="N146" t="s">
        <v>29</v>
      </c>
      <c r="O146">
        <v>1</v>
      </c>
      <c r="P146">
        <v>4</v>
      </c>
      <c r="Q146" t="s">
        <v>30</v>
      </c>
      <c r="R146">
        <v>8</v>
      </c>
      <c r="S146">
        <v>69</v>
      </c>
      <c r="T146">
        <v>128414</v>
      </c>
      <c r="U146">
        <v>16300</v>
      </c>
      <c r="V146">
        <v>14</v>
      </c>
      <c r="W146" t="s">
        <v>31</v>
      </c>
    </row>
    <row r="147" spans="1:23" x14ac:dyDescent="0.3">
      <c r="A147" t="s">
        <v>370</v>
      </c>
      <c r="B147" t="s">
        <v>1918</v>
      </c>
      <c r="C147">
        <v>46</v>
      </c>
      <c r="D147" t="s">
        <v>41</v>
      </c>
      <c r="E147" t="s">
        <v>71</v>
      </c>
      <c r="F147" t="s">
        <v>42</v>
      </c>
      <c r="G147" t="s">
        <v>43</v>
      </c>
      <c r="H147" t="s">
        <v>96</v>
      </c>
      <c r="I147" t="s">
        <v>27</v>
      </c>
      <c r="J147" t="s">
        <v>371</v>
      </c>
      <c r="K147">
        <v>2023</v>
      </c>
      <c r="L147">
        <v>1</v>
      </c>
      <c r="M147">
        <v>17</v>
      </c>
      <c r="N147" t="s">
        <v>98</v>
      </c>
      <c r="O147">
        <v>1</v>
      </c>
      <c r="P147">
        <v>2</v>
      </c>
      <c r="Q147" t="s">
        <v>30</v>
      </c>
      <c r="R147">
        <v>21</v>
      </c>
      <c r="S147">
        <v>80</v>
      </c>
      <c r="T147">
        <v>108854</v>
      </c>
      <c r="U147">
        <v>6700</v>
      </c>
      <c r="V147">
        <v>9.1999999999999993</v>
      </c>
      <c r="W147" t="s">
        <v>31</v>
      </c>
    </row>
    <row r="148" spans="1:23" x14ac:dyDescent="0.3">
      <c r="A148" t="s">
        <v>372</v>
      </c>
      <c r="B148" t="s">
        <v>1912</v>
      </c>
      <c r="C148">
        <v>37</v>
      </c>
      <c r="D148" t="s">
        <v>33</v>
      </c>
      <c r="E148" t="s">
        <v>71</v>
      </c>
      <c r="F148" t="s">
        <v>47</v>
      </c>
      <c r="G148" t="s">
        <v>82</v>
      </c>
      <c r="H148" t="s">
        <v>83</v>
      </c>
      <c r="I148" t="s">
        <v>27</v>
      </c>
      <c r="J148" t="s">
        <v>267</v>
      </c>
      <c r="K148">
        <v>2021</v>
      </c>
      <c r="L148">
        <v>3</v>
      </c>
      <c r="M148">
        <v>14</v>
      </c>
      <c r="N148" t="s">
        <v>85</v>
      </c>
      <c r="O148">
        <v>5</v>
      </c>
      <c r="P148">
        <v>2</v>
      </c>
      <c r="Q148" t="s">
        <v>30</v>
      </c>
      <c r="R148">
        <v>8</v>
      </c>
      <c r="S148">
        <v>52</v>
      </c>
      <c r="T148">
        <v>55076</v>
      </c>
      <c r="U148">
        <v>12000</v>
      </c>
      <c r="V148">
        <v>3.5</v>
      </c>
      <c r="W148" t="s">
        <v>30</v>
      </c>
    </row>
    <row r="149" spans="1:23" x14ac:dyDescent="0.3">
      <c r="A149" t="s">
        <v>373</v>
      </c>
      <c r="B149" t="s">
        <v>1919</v>
      </c>
      <c r="C149">
        <v>34</v>
      </c>
      <c r="D149" t="s">
        <v>41</v>
      </c>
      <c r="E149" t="s">
        <v>34</v>
      </c>
      <c r="F149" t="s">
        <v>42</v>
      </c>
      <c r="G149" t="s">
        <v>25</v>
      </c>
      <c r="H149" t="s">
        <v>110</v>
      </c>
      <c r="I149" t="s">
        <v>27</v>
      </c>
      <c r="J149" t="s">
        <v>28</v>
      </c>
      <c r="K149">
        <v>2023</v>
      </c>
      <c r="L149">
        <v>1</v>
      </c>
      <c r="M149">
        <v>4</v>
      </c>
      <c r="N149" t="s">
        <v>29</v>
      </c>
      <c r="O149">
        <v>3</v>
      </c>
      <c r="P149">
        <v>5</v>
      </c>
      <c r="Q149" t="s">
        <v>30</v>
      </c>
      <c r="R149">
        <v>2</v>
      </c>
      <c r="S149">
        <v>36</v>
      </c>
      <c r="T149">
        <v>102204</v>
      </c>
      <c r="U149">
        <v>13500</v>
      </c>
      <c r="V149">
        <v>10</v>
      </c>
      <c r="W149" t="s">
        <v>31</v>
      </c>
    </row>
    <row r="150" spans="1:23" x14ac:dyDescent="0.3">
      <c r="A150" t="s">
        <v>374</v>
      </c>
      <c r="B150" t="s">
        <v>1920</v>
      </c>
      <c r="C150">
        <v>43</v>
      </c>
      <c r="D150" t="s">
        <v>41</v>
      </c>
      <c r="E150" t="s">
        <v>34</v>
      </c>
      <c r="F150" t="s">
        <v>24</v>
      </c>
      <c r="G150" t="s">
        <v>43</v>
      </c>
      <c r="H150" t="s">
        <v>48</v>
      </c>
      <c r="I150" t="s">
        <v>65</v>
      </c>
      <c r="J150" t="s">
        <v>375</v>
      </c>
      <c r="K150">
        <v>2021</v>
      </c>
      <c r="L150">
        <v>3</v>
      </c>
      <c r="M150">
        <v>18</v>
      </c>
      <c r="N150" t="s">
        <v>98</v>
      </c>
      <c r="O150">
        <v>1</v>
      </c>
      <c r="P150">
        <v>5</v>
      </c>
      <c r="Q150" t="s">
        <v>30</v>
      </c>
      <c r="R150">
        <v>17</v>
      </c>
      <c r="S150">
        <v>18</v>
      </c>
      <c r="T150">
        <v>121248</v>
      </c>
      <c r="U150">
        <v>9700</v>
      </c>
      <c r="V150">
        <v>6.5</v>
      </c>
      <c r="W150" t="s">
        <v>31</v>
      </c>
    </row>
    <row r="151" spans="1:23" x14ac:dyDescent="0.3">
      <c r="A151" t="s">
        <v>376</v>
      </c>
      <c r="B151" t="s">
        <v>1886</v>
      </c>
      <c r="C151">
        <v>29</v>
      </c>
      <c r="D151" t="s">
        <v>41</v>
      </c>
      <c r="E151" t="s">
        <v>34</v>
      </c>
      <c r="F151" t="s">
        <v>62</v>
      </c>
      <c r="G151" t="s">
        <v>43</v>
      </c>
      <c r="H151" t="s">
        <v>72</v>
      </c>
      <c r="I151" t="s">
        <v>79</v>
      </c>
      <c r="J151" t="s">
        <v>377</v>
      </c>
      <c r="K151">
        <v>2024</v>
      </c>
      <c r="L151">
        <v>0</v>
      </c>
      <c r="M151">
        <v>3</v>
      </c>
      <c r="N151" t="s">
        <v>29</v>
      </c>
      <c r="O151">
        <v>2</v>
      </c>
      <c r="P151">
        <v>1</v>
      </c>
      <c r="Q151" t="s">
        <v>30</v>
      </c>
      <c r="R151">
        <v>5</v>
      </c>
      <c r="S151">
        <v>72</v>
      </c>
      <c r="T151">
        <v>115069</v>
      </c>
      <c r="U151">
        <v>16000</v>
      </c>
      <c r="V151">
        <v>13.2</v>
      </c>
      <c r="W151" t="s">
        <v>31</v>
      </c>
    </row>
    <row r="152" spans="1:23" x14ac:dyDescent="0.3">
      <c r="A152" t="s">
        <v>378</v>
      </c>
      <c r="B152" t="s">
        <v>1921</v>
      </c>
      <c r="C152">
        <v>29</v>
      </c>
      <c r="D152" t="s">
        <v>33</v>
      </c>
      <c r="E152" t="s">
        <v>71</v>
      </c>
      <c r="F152" t="s">
        <v>75</v>
      </c>
      <c r="G152" t="s">
        <v>117</v>
      </c>
      <c r="H152" t="s">
        <v>298</v>
      </c>
      <c r="I152" t="s">
        <v>27</v>
      </c>
      <c r="J152" t="s">
        <v>379</v>
      </c>
      <c r="K152">
        <v>2024</v>
      </c>
      <c r="L152">
        <v>0</v>
      </c>
      <c r="M152">
        <v>3</v>
      </c>
      <c r="N152" t="s">
        <v>85</v>
      </c>
      <c r="O152">
        <v>5</v>
      </c>
      <c r="P152">
        <v>1</v>
      </c>
      <c r="Q152" t="s">
        <v>30</v>
      </c>
      <c r="R152">
        <v>6</v>
      </c>
      <c r="S152">
        <v>40</v>
      </c>
      <c r="T152">
        <v>71429</v>
      </c>
      <c r="U152">
        <v>15600</v>
      </c>
      <c r="V152">
        <v>8.8000000000000007</v>
      </c>
      <c r="W152" t="s">
        <v>31</v>
      </c>
    </row>
    <row r="153" spans="1:23" x14ac:dyDescent="0.3">
      <c r="A153" t="s">
        <v>380</v>
      </c>
      <c r="B153" t="s">
        <v>1922</v>
      </c>
      <c r="C153">
        <v>32</v>
      </c>
      <c r="D153" t="s">
        <v>41</v>
      </c>
      <c r="E153" t="s">
        <v>61</v>
      </c>
      <c r="F153" t="s">
        <v>47</v>
      </c>
      <c r="G153" t="s">
        <v>25</v>
      </c>
      <c r="H153" t="s">
        <v>110</v>
      </c>
      <c r="I153" t="s">
        <v>79</v>
      </c>
      <c r="J153" t="s">
        <v>381</v>
      </c>
      <c r="K153">
        <v>2023</v>
      </c>
      <c r="L153">
        <v>1</v>
      </c>
      <c r="M153">
        <v>5</v>
      </c>
      <c r="N153" t="s">
        <v>85</v>
      </c>
      <c r="O153">
        <v>2</v>
      </c>
      <c r="P153">
        <v>3</v>
      </c>
      <c r="Q153" t="s">
        <v>31</v>
      </c>
      <c r="R153">
        <v>15</v>
      </c>
      <c r="S153">
        <v>59</v>
      </c>
      <c r="T153">
        <v>83069</v>
      </c>
      <c r="U153">
        <v>15400</v>
      </c>
      <c r="V153">
        <v>12.4</v>
      </c>
      <c r="W153" t="s">
        <v>31</v>
      </c>
    </row>
    <row r="154" spans="1:23" x14ac:dyDescent="0.3">
      <c r="A154" t="s">
        <v>382</v>
      </c>
      <c r="B154" t="s">
        <v>1923</v>
      </c>
      <c r="C154">
        <v>43</v>
      </c>
      <c r="D154" t="s">
        <v>41</v>
      </c>
      <c r="E154" t="s">
        <v>61</v>
      </c>
      <c r="F154" t="s">
        <v>137</v>
      </c>
      <c r="G154" t="s">
        <v>43</v>
      </c>
      <c r="H154" t="s">
        <v>48</v>
      </c>
      <c r="I154" t="s">
        <v>79</v>
      </c>
      <c r="J154" t="s">
        <v>383</v>
      </c>
      <c r="K154">
        <v>2021</v>
      </c>
      <c r="L154">
        <v>3</v>
      </c>
      <c r="M154">
        <v>20</v>
      </c>
      <c r="N154" t="s">
        <v>98</v>
      </c>
      <c r="O154">
        <v>1</v>
      </c>
      <c r="P154">
        <v>5</v>
      </c>
      <c r="Q154" t="s">
        <v>31</v>
      </c>
      <c r="R154">
        <v>18</v>
      </c>
      <c r="S154">
        <v>51</v>
      </c>
      <c r="T154">
        <v>88350</v>
      </c>
      <c r="U154">
        <v>5400</v>
      </c>
      <c r="V154">
        <v>11.8</v>
      </c>
      <c r="W154" t="s">
        <v>31</v>
      </c>
    </row>
    <row r="155" spans="1:23" x14ac:dyDescent="0.3">
      <c r="A155" t="s">
        <v>384</v>
      </c>
      <c r="B155" t="s">
        <v>1924</v>
      </c>
      <c r="C155">
        <v>32</v>
      </c>
      <c r="D155" t="s">
        <v>33</v>
      </c>
      <c r="E155" t="s">
        <v>34</v>
      </c>
      <c r="F155" t="s">
        <v>42</v>
      </c>
      <c r="G155" t="s">
        <v>82</v>
      </c>
      <c r="H155" t="s">
        <v>83</v>
      </c>
      <c r="I155" t="s">
        <v>27</v>
      </c>
      <c r="J155" t="s">
        <v>385</v>
      </c>
      <c r="K155">
        <v>2024</v>
      </c>
      <c r="L155">
        <v>0</v>
      </c>
      <c r="M155">
        <v>5</v>
      </c>
      <c r="N155" t="s">
        <v>98</v>
      </c>
      <c r="O155">
        <v>2</v>
      </c>
      <c r="P155">
        <v>5</v>
      </c>
      <c r="Q155" t="s">
        <v>31</v>
      </c>
      <c r="R155">
        <v>21</v>
      </c>
      <c r="S155">
        <v>21</v>
      </c>
      <c r="T155">
        <v>83640</v>
      </c>
      <c r="U155">
        <v>5400</v>
      </c>
      <c r="V155">
        <v>8.6</v>
      </c>
      <c r="W155" t="s">
        <v>31</v>
      </c>
    </row>
    <row r="156" spans="1:23" x14ac:dyDescent="0.3">
      <c r="A156" t="s">
        <v>386</v>
      </c>
      <c r="B156" t="s">
        <v>1925</v>
      </c>
      <c r="C156">
        <v>43</v>
      </c>
      <c r="D156" t="s">
        <v>41</v>
      </c>
      <c r="E156" t="s">
        <v>34</v>
      </c>
      <c r="F156" t="s">
        <v>24</v>
      </c>
      <c r="G156" t="s">
        <v>36</v>
      </c>
      <c r="H156" t="s">
        <v>37</v>
      </c>
      <c r="I156" t="s">
        <v>27</v>
      </c>
      <c r="J156" t="s">
        <v>387</v>
      </c>
      <c r="K156">
        <v>2022</v>
      </c>
      <c r="L156">
        <v>2</v>
      </c>
      <c r="M156">
        <v>16</v>
      </c>
      <c r="N156" t="s">
        <v>29</v>
      </c>
      <c r="O156">
        <v>4</v>
      </c>
      <c r="P156">
        <v>1</v>
      </c>
      <c r="Q156" t="s">
        <v>30</v>
      </c>
      <c r="R156">
        <v>1</v>
      </c>
      <c r="S156">
        <v>41</v>
      </c>
      <c r="T156">
        <v>94903</v>
      </c>
      <c r="U156">
        <v>9400</v>
      </c>
      <c r="V156">
        <v>7.4</v>
      </c>
      <c r="W156" t="s">
        <v>30</v>
      </c>
    </row>
    <row r="157" spans="1:23" x14ac:dyDescent="0.3">
      <c r="A157" t="s">
        <v>388</v>
      </c>
      <c r="B157" t="s">
        <v>1926</v>
      </c>
      <c r="C157">
        <v>49</v>
      </c>
      <c r="D157" t="s">
        <v>33</v>
      </c>
      <c r="E157" t="s">
        <v>71</v>
      </c>
      <c r="F157" t="s">
        <v>153</v>
      </c>
      <c r="G157" t="s">
        <v>43</v>
      </c>
      <c r="H157" t="s">
        <v>72</v>
      </c>
      <c r="I157" t="s">
        <v>65</v>
      </c>
      <c r="J157" t="s">
        <v>389</v>
      </c>
      <c r="K157">
        <v>2023</v>
      </c>
      <c r="L157">
        <v>1</v>
      </c>
      <c r="M157">
        <v>19</v>
      </c>
      <c r="N157" t="s">
        <v>98</v>
      </c>
      <c r="O157">
        <v>2</v>
      </c>
      <c r="P157">
        <v>5</v>
      </c>
      <c r="Q157" t="s">
        <v>31</v>
      </c>
      <c r="R157">
        <v>12</v>
      </c>
      <c r="S157">
        <v>45</v>
      </c>
      <c r="T157">
        <v>119369</v>
      </c>
      <c r="U157">
        <v>7900</v>
      </c>
      <c r="V157">
        <v>10.8</v>
      </c>
      <c r="W157" t="s">
        <v>31</v>
      </c>
    </row>
    <row r="158" spans="1:23" x14ac:dyDescent="0.3">
      <c r="A158" t="s">
        <v>390</v>
      </c>
      <c r="B158" t="s">
        <v>1896</v>
      </c>
      <c r="C158">
        <v>39</v>
      </c>
      <c r="D158" t="s">
        <v>41</v>
      </c>
      <c r="E158" t="s">
        <v>34</v>
      </c>
      <c r="F158" t="s">
        <v>57</v>
      </c>
      <c r="G158" t="s">
        <v>43</v>
      </c>
      <c r="H158" t="s">
        <v>96</v>
      </c>
      <c r="I158" t="s">
        <v>27</v>
      </c>
      <c r="J158" t="s">
        <v>391</v>
      </c>
      <c r="K158">
        <v>2021</v>
      </c>
      <c r="L158">
        <v>3</v>
      </c>
      <c r="M158">
        <v>15</v>
      </c>
      <c r="N158" t="s">
        <v>29</v>
      </c>
      <c r="O158">
        <v>4</v>
      </c>
      <c r="P158">
        <v>3</v>
      </c>
      <c r="Q158" t="s">
        <v>31</v>
      </c>
      <c r="R158">
        <v>23</v>
      </c>
      <c r="S158">
        <v>14</v>
      </c>
      <c r="T158">
        <v>137441</v>
      </c>
      <c r="U158">
        <v>14600</v>
      </c>
      <c r="V158">
        <v>5.2</v>
      </c>
      <c r="W158" t="s">
        <v>31</v>
      </c>
    </row>
    <row r="159" spans="1:23" x14ac:dyDescent="0.3">
      <c r="A159" t="s">
        <v>392</v>
      </c>
      <c r="B159" t="s">
        <v>1927</v>
      </c>
      <c r="C159">
        <v>36</v>
      </c>
      <c r="D159" t="s">
        <v>33</v>
      </c>
      <c r="E159" t="s">
        <v>34</v>
      </c>
      <c r="F159" t="s">
        <v>137</v>
      </c>
      <c r="G159" t="s">
        <v>100</v>
      </c>
      <c r="H159" t="s">
        <v>129</v>
      </c>
      <c r="I159" t="s">
        <v>27</v>
      </c>
      <c r="J159" t="s">
        <v>393</v>
      </c>
      <c r="K159">
        <v>2022</v>
      </c>
      <c r="L159">
        <v>2</v>
      </c>
      <c r="M159">
        <v>14</v>
      </c>
      <c r="N159" t="s">
        <v>29</v>
      </c>
      <c r="O159">
        <v>2</v>
      </c>
      <c r="P159">
        <v>5</v>
      </c>
      <c r="Q159" t="s">
        <v>31</v>
      </c>
      <c r="R159">
        <v>12</v>
      </c>
      <c r="S159">
        <v>76</v>
      </c>
      <c r="T159">
        <v>48381</v>
      </c>
      <c r="U159">
        <v>5000</v>
      </c>
      <c r="V159">
        <v>10.6</v>
      </c>
      <c r="W159" t="s">
        <v>30</v>
      </c>
    </row>
    <row r="160" spans="1:23" x14ac:dyDescent="0.3">
      <c r="A160" t="s">
        <v>394</v>
      </c>
      <c r="B160" t="s">
        <v>1928</v>
      </c>
      <c r="C160">
        <v>44</v>
      </c>
      <c r="D160" t="s">
        <v>33</v>
      </c>
      <c r="E160" t="s">
        <v>56</v>
      </c>
      <c r="F160" t="s">
        <v>62</v>
      </c>
      <c r="G160" t="s">
        <v>43</v>
      </c>
      <c r="H160" t="s">
        <v>72</v>
      </c>
      <c r="I160" t="s">
        <v>27</v>
      </c>
      <c r="J160" t="s">
        <v>395</v>
      </c>
      <c r="K160">
        <v>2023</v>
      </c>
      <c r="L160">
        <v>1</v>
      </c>
      <c r="M160">
        <v>15</v>
      </c>
      <c r="N160" t="s">
        <v>29</v>
      </c>
      <c r="O160">
        <v>3</v>
      </c>
      <c r="P160">
        <v>2</v>
      </c>
      <c r="Q160" t="s">
        <v>31</v>
      </c>
      <c r="R160">
        <v>23</v>
      </c>
      <c r="S160">
        <v>43</v>
      </c>
      <c r="T160">
        <v>92356</v>
      </c>
      <c r="U160">
        <v>10700</v>
      </c>
      <c r="V160">
        <v>4.7</v>
      </c>
      <c r="W160" t="s">
        <v>31</v>
      </c>
    </row>
    <row r="161" spans="1:23" x14ac:dyDescent="0.3">
      <c r="A161" t="s">
        <v>396</v>
      </c>
      <c r="B161" t="s">
        <v>1929</v>
      </c>
      <c r="C161">
        <v>26</v>
      </c>
      <c r="D161" t="s">
        <v>33</v>
      </c>
      <c r="E161" t="s">
        <v>34</v>
      </c>
      <c r="F161" t="s">
        <v>62</v>
      </c>
      <c r="G161" t="s">
        <v>43</v>
      </c>
      <c r="H161" t="s">
        <v>48</v>
      </c>
      <c r="I161" t="s">
        <v>27</v>
      </c>
      <c r="J161" t="s">
        <v>397</v>
      </c>
      <c r="K161">
        <v>2024</v>
      </c>
      <c r="L161">
        <v>0</v>
      </c>
      <c r="M161">
        <v>4</v>
      </c>
      <c r="N161" t="s">
        <v>98</v>
      </c>
      <c r="O161">
        <v>5</v>
      </c>
      <c r="P161">
        <v>5</v>
      </c>
      <c r="Q161" t="s">
        <v>31</v>
      </c>
      <c r="R161">
        <v>24</v>
      </c>
      <c r="S161">
        <v>15</v>
      </c>
      <c r="T161">
        <v>136107</v>
      </c>
      <c r="U161">
        <v>10800</v>
      </c>
      <c r="V161">
        <v>10.3</v>
      </c>
      <c r="W161" t="s">
        <v>31</v>
      </c>
    </row>
    <row r="162" spans="1:23" x14ac:dyDescent="0.3">
      <c r="A162" t="s">
        <v>398</v>
      </c>
      <c r="B162" t="s">
        <v>1930</v>
      </c>
      <c r="C162">
        <v>44</v>
      </c>
      <c r="D162" t="s">
        <v>41</v>
      </c>
      <c r="E162" t="s">
        <v>34</v>
      </c>
      <c r="F162" t="s">
        <v>24</v>
      </c>
      <c r="G162" t="s">
        <v>36</v>
      </c>
      <c r="H162" t="s">
        <v>76</v>
      </c>
      <c r="I162" t="s">
        <v>27</v>
      </c>
      <c r="J162" t="s">
        <v>399</v>
      </c>
      <c r="K162">
        <v>2021</v>
      </c>
      <c r="L162">
        <v>3</v>
      </c>
      <c r="M162">
        <v>14</v>
      </c>
      <c r="N162" t="s">
        <v>98</v>
      </c>
      <c r="O162">
        <v>5</v>
      </c>
      <c r="P162">
        <v>1</v>
      </c>
      <c r="Q162" t="s">
        <v>31</v>
      </c>
      <c r="R162">
        <v>13</v>
      </c>
      <c r="S162">
        <v>17</v>
      </c>
      <c r="T162">
        <v>47846</v>
      </c>
      <c r="U162">
        <v>3300</v>
      </c>
      <c r="V162">
        <v>14.3</v>
      </c>
      <c r="W162" t="s">
        <v>31</v>
      </c>
    </row>
    <row r="163" spans="1:23" x14ac:dyDescent="0.3">
      <c r="A163" t="s">
        <v>400</v>
      </c>
      <c r="B163" t="s">
        <v>1882</v>
      </c>
      <c r="C163">
        <v>46</v>
      </c>
      <c r="D163" t="s">
        <v>41</v>
      </c>
      <c r="E163" t="s">
        <v>34</v>
      </c>
      <c r="F163" t="s">
        <v>75</v>
      </c>
      <c r="G163" t="s">
        <v>25</v>
      </c>
      <c r="H163" t="s">
        <v>58</v>
      </c>
      <c r="I163" t="s">
        <v>27</v>
      </c>
      <c r="J163" t="s">
        <v>401</v>
      </c>
      <c r="K163">
        <v>2021</v>
      </c>
      <c r="L163">
        <v>3</v>
      </c>
      <c r="M163">
        <v>18</v>
      </c>
      <c r="N163" t="s">
        <v>98</v>
      </c>
      <c r="O163">
        <v>3</v>
      </c>
      <c r="P163">
        <v>4</v>
      </c>
      <c r="Q163" t="s">
        <v>30</v>
      </c>
      <c r="R163">
        <v>11</v>
      </c>
      <c r="S163">
        <v>13</v>
      </c>
      <c r="T163">
        <v>55358</v>
      </c>
      <c r="U163">
        <v>4300</v>
      </c>
      <c r="V163">
        <v>9.9</v>
      </c>
      <c r="W163" t="s">
        <v>31</v>
      </c>
    </row>
    <row r="164" spans="1:23" x14ac:dyDescent="0.3">
      <c r="A164" t="s">
        <v>402</v>
      </c>
      <c r="B164" t="s">
        <v>1931</v>
      </c>
      <c r="C164">
        <v>46</v>
      </c>
      <c r="D164" t="s">
        <v>41</v>
      </c>
      <c r="E164" t="s">
        <v>71</v>
      </c>
      <c r="F164" t="s">
        <v>42</v>
      </c>
      <c r="G164" t="s">
        <v>43</v>
      </c>
      <c r="H164" t="s">
        <v>44</v>
      </c>
      <c r="I164" t="s">
        <v>27</v>
      </c>
      <c r="J164" t="s">
        <v>403</v>
      </c>
      <c r="K164">
        <v>2023</v>
      </c>
      <c r="L164">
        <v>1</v>
      </c>
      <c r="M164">
        <v>19</v>
      </c>
      <c r="N164" t="s">
        <v>98</v>
      </c>
      <c r="O164">
        <v>3</v>
      </c>
      <c r="P164">
        <v>5</v>
      </c>
      <c r="Q164" t="s">
        <v>31</v>
      </c>
      <c r="R164">
        <v>11</v>
      </c>
      <c r="S164">
        <v>50</v>
      </c>
      <c r="T164">
        <v>122095</v>
      </c>
      <c r="U164">
        <v>8300</v>
      </c>
      <c r="V164">
        <v>12.4</v>
      </c>
      <c r="W164" t="s">
        <v>31</v>
      </c>
    </row>
    <row r="165" spans="1:23" x14ac:dyDescent="0.3">
      <c r="A165" t="s">
        <v>404</v>
      </c>
      <c r="B165" t="s">
        <v>1932</v>
      </c>
      <c r="C165">
        <v>29</v>
      </c>
      <c r="D165" t="s">
        <v>33</v>
      </c>
      <c r="E165" t="s">
        <v>34</v>
      </c>
      <c r="F165" t="s">
        <v>153</v>
      </c>
      <c r="G165" t="s">
        <v>63</v>
      </c>
      <c r="H165" t="s">
        <v>64</v>
      </c>
      <c r="I165" t="s">
        <v>65</v>
      </c>
      <c r="J165" t="s">
        <v>405</v>
      </c>
      <c r="K165">
        <v>2022</v>
      </c>
      <c r="L165">
        <v>2</v>
      </c>
      <c r="M165">
        <v>6</v>
      </c>
      <c r="N165" t="s">
        <v>98</v>
      </c>
      <c r="O165">
        <v>1</v>
      </c>
      <c r="P165">
        <v>1</v>
      </c>
      <c r="Q165" t="s">
        <v>30</v>
      </c>
      <c r="R165">
        <v>4</v>
      </c>
      <c r="S165">
        <v>60</v>
      </c>
      <c r="T165">
        <v>48125</v>
      </c>
      <c r="U165">
        <v>3800</v>
      </c>
      <c r="V165">
        <v>10.4</v>
      </c>
      <c r="W165" t="s">
        <v>31</v>
      </c>
    </row>
    <row r="166" spans="1:23" x14ac:dyDescent="0.3">
      <c r="A166" t="s">
        <v>406</v>
      </c>
      <c r="B166" t="s">
        <v>1836</v>
      </c>
      <c r="C166">
        <v>30</v>
      </c>
      <c r="D166" t="s">
        <v>41</v>
      </c>
      <c r="E166" t="s">
        <v>56</v>
      </c>
      <c r="F166" t="s">
        <v>35</v>
      </c>
      <c r="G166" t="s">
        <v>63</v>
      </c>
      <c r="H166" t="s">
        <v>225</v>
      </c>
      <c r="I166" t="s">
        <v>27</v>
      </c>
      <c r="J166" t="s">
        <v>407</v>
      </c>
      <c r="K166">
        <v>2023</v>
      </c>
      <c r="L166">
        <v>1</v>
      </c>
      <c r="M166">
        <v>2</v>
      </c>
      <c r="N166" t="s">
        <v>29</v>
      </c>
      <c r="O166">
        <v>4</v>
      </c>
      <c r="P166">
        <v>1</v>
      </c>
      <c r="Q166" t="s">
        <v>31</v>
      </c>
      <c r="R166">
        <v>6</v>
      </c>
      <c r="S166">
        <v>66</v>
      </c>
      <c r="T166">
        <v>48128</v>
      </c>
      <c r="U166">
        <v>5800</v>
      </c>
      <c r="V166">
        <v>11.5</v>
      </c>
      <c r="W166" t="s">
        <v>31</v>
      </c>
    </row>
    <row r="167" spans="1:23" x14ac:dyDescent="0.3">
      <c r="A167" t="s">
        <v>408</v>
      </c>
      <c r="B167" t="s">
        <v>1806</v>
      </c>
      <c r="C167">
        <v>29</v>
      </c>
      <c r="D167" t="s">
        <v>41</v>
      </c>
      <c r="E167" t="s">
        <v>34</v>
      </c>
      <c r="F167" t="s">
        <v>153</v>
      </c>
      <c r="G167" t="s">
        <v>36</v>
      </c>
      <c r="H167" t="s">
        <v>68</v>
      </c>
      <c r="I167" t="s">
        <v>27</v>
      </c>
      <c r="J167" t="s">
        <v>409</v>
      </c>
      <c r="K167">
        <v>2022</v>
      </c>
      <c r="L167">
        <v>2</v>
      </c>
      <c r="M167">
        <v>2</v>
      </c>
      <c r="N167" t="s">
        <v>39</v>
      </c>
      <c r="O167">
        <v>5</v>
      </c>
      <c r="P167">
        <v>1</v>
      </c>
      <c r="Q167" t="s">
        <v>31</v>
      </c>
      <c r="R167">
        <v>23</v>
      </c>
      <c r="S167">
        <v>8</v>
      </c>
      <c r="T167">
        <v>45018</v>
      </c>
      <c r="U167">
        <v>1100</v>
      </c>
      <c r="V167">
        <v>6.3</v>
      </c>
      <c r="W167" t="s">
        <v>30</v>
      </c>
    </row>
    <row r="168" spans="1:23" x14ac:dyDescent="0.3">
      <c r="A168" t="s">
        <v>410</v>
      </c>
      <c r="B168" t="s">
        <v>1933</v>
      </c>
      <c r="C168">
        <v>34</v>
      </c>
      <c r="D168" t="s">
        <v>33</v>
      </c>
      <c r="E168" t="s">
        <v>71</v>
      </c>
      <c r="F168" t="s">
        <v>42</v>
      </c>
      <c r="G168" t="s">
        <v>43</v>
      </c>
      <c r="H168" t="s">
        <v>72</v>
      </c>
      <c r="I168" t="s">
        <v>27</v>
      </c>
      <c r="J168" t="s">
        <v>411</v>
      </c>
      <c r="K168">
        <v>2023</v>
      </c>
      <c r="L168">
        <v>1</v>
      </c>
      <c r="M168">
        <v>9</v>
      </c>
      <c r="N168" t="s">
        <v>29</v>
      </c>
      <c r="O168">
        <v>3</v>
      </c>
      <c r="P168">
        <v>3</v>
      </c>
      <c r="Q168" t="s">
        <v>31</v>
      </c>
      <c r="R168">
        <v>3</v>
      </c>
      <c r="S168">
        <v>65</v>
      </c>
      <c r="T168">
        <v>95496</v>
      </c>
      <c r="U168">
        <v>11000</v>
      </c>
      <c r="V168">
        <v>3.1</v>
      </c>
      <c r="W168" t="s">
        <v>31</v>
      </c>
    </row>
    <row r="169" spans="1:23" x14ac:dyDescent="0.3">
      <c r="A169" t="s">
        <v>412</v>
      </c>
      <c r="B169" t="s">
        <v>1871</v>
      </c>
      <c r="C169">
        <v>42</v>
      </c>
      <c r="D169" t="s">
        <v>33</v>
      </c>
      <c r="E169" t="s">
        <v>61</v>
      </c>
      <c r="F169" t="s">
        <v>51</v>
      </c>
      <c r="G169" t="s">
        <v>25</v>
      </c>
      <c r="H169" t="s">
        <v>58</v>
      </c>
      <c r="I169" t="s">
        <v>27</v>
      </c>
      <c r="J169" t="s">
        <v>413</v>
      </c>
      <c r="K169">
        <v>2023</v>
      </c>
      <c r="L169">
        <v>1</v>
      </c>
      <c r="M169">
        <v>13</v>
      </c>
      <c r="N169" t="s">
        <v>29</v>
      </c>
      <c r="O169">
        <v>1</v>
      </c>
      <c r="P169">
        <v>4</v>
      </c>
      <c r="Q169" t="s">
        <v>31</v>
      </c>
      <c r="R169">
        <v>20</v>
      </c>
      <c r="S169">
        <v>28</v>
      </c>
      <c r="T169">
        <v>104641</v>
      </c>
      <c r="U169">
        <v>13900</v>
      </c>
      <c r="V169">
        <v>11.2</v>
      </c>
      <c r="W169" t="s">
        <v>31</v>
      </c>
    </row>
    <row r="170" spans="1:23" x14ac:dyDescent="0.3">
      <c r="A170" t="s">
        <v>414</v>
      </c>
      <c r="B170" t="s">
        <v>1824</v>
      </c>
      <c r="C170">
        <v>34</v>
      </c>
      <c r="D170" t="s">
        <v>33</v>
      </c>
      <c r="E170" t="s">
        <v>34</v>
      </c>
      <c r="F170" t="s">
        <v>24</v>
      </c>
      <c r="G170" t="s">
        <v>43</v>
      </c>
      <c r="H170" t="s">
        <v>44</v>
      </c>
      <c r="I170" t="s">
        <v>27</v>
      </c>
      <c r="J170" t="s">
        <v>415</v>
      </c>
      <c r="K170">
        <v>2021</v>
      </c>
      <c r="L170">
        <v>3</v>
      </c>
      <c r="M170">
        <v>9</v>
      </c>
      <c r="N170" t="s">
        <v>98</v>
      </c>
      <c r="O170">
        <v>5</v>
      </c>
      <c r="P170">
        <v>3</v>
      </c>
      <c r="Q170" t="s">
        <v>31</v>
      </c>
      <c r="R170">
        <v>5</v>
      </c>
      <c r="S170">
        <v>24</v>
      </c>
      <c r="T170">
        <v>122288</v>
      </c>
      <c r="U170">
        <v>9700</v>
      </c>
      <c r="V170">
        <v>3.9</v>
      </c>
      <c r="W170" t="s">
        <v>31</v>
      </c>
    </row>
    <row r="171" spans="1:23" x14ac:dyDescent="0.3">
      <c r="A171" t="s">
        <v>416</v>
      </c>
      <c r="B171" t="s">
        <v>1934</v>
      </c>
      <c r="C171">
        <v>33</v>
      </c>
      <c r="D171" t="s">
        <v>33</v>
      </c>
      <c r="E171" t="s">
        <v>61</v>
      </c>
      <c r="F171" t="s">
        <v>51</v>
      </c>
      <c r="G171" t="s">
        <v>36</v>
      </c>
      <c r="H171" t="s">
        <v>89</v>
      </c>
      <c r="I171" t="s">
        <v>27</v>
      </c>
      <c r="J171" t="s">
        <v>417</v>
      </c>
      <c r="K171">
        <v>2022</v>
      </c>
      <c r="L171">
        <v>2</v>
      </c>
      <c r="M171">
        <v>8</v>
      </c>
      <c r="N171" t="s">
        <v>29</v>
      </c>
      <c r="O171">
        <v>5</v>
      </c>
      <c r="P171">
        <v>1</v>
      </c>
      <c r="Q171" t="s">
        <v>31</v>
      </c>
      <c r="R171">
        <v>15</v>
      </c>
      <c r="S171">
        <v>47</v>
      </c>
      <c r="T171">
        <v>85540</v>
      </c>
      <c r="U171">
        <v>11400</v>
      </c>
      <c r="V171">
        <v>4.4000000000000004</v>
      </c>
      <c r="W171" t="s">
        <v>30</v>
      </c>
    </row>
    <row r="172" spans="1:23" x14ac:dyDescent="0.3">
      <c r="A172" t="s">
        <v>418</v>
      </c>
      <c r="B172" t="s">
        <v>1935</v>
      </c>
      <c r="C172">
        <v>43</v>
      </c>
      <c r="D172" t="s">
        <v>41</v>
      </c>
      <c r="E172" t="s">
        <v>34</v>
      </c>
      <c r="F172" t="s">
        <v>42</v>
      </c>
      <c r="G172" t="s">
        <v>117</v>
      </c>
      <c r="H172" t="s">
        <v>184</v>
      </c>
      <c r="I172" t="s">
        <v>27</v>
      </c>
      <c r="J172" t="s">
        <v>419</v>
      </c>
      <c r="K172">
        <v>2023</v>
      </c>
      <c r="L172">
        <v>1</v>
      </c>
      <c r="M172">
        <v>17</v>
      </c>
      <c r="N172" t="s">
        <v>29</v>
      </c>
      <c r="O172">
        <v>2</v>
      </c>
      <c r="P172">
        <v>4</v>
      </c>
      <c r="Q172" t="s">
        <v>31</v>
      </c>
      <c r="R172">
        <v>3</v>
      </c>
      <c r="S172">
        <v>66</v>
      </c>
      <c r="T172">
        <v>104163</v>
      </c>
      <c r="U172">
        <v>10300</v>
      </c>
      <c r="V172">
        <v>12.6</v>
      </c>
      <c r="W172" t="s">
        <v>31</v>
      </c>
    </row>
    <row r="173" spans="1:23" x14ac:dyDescent="0.3">
      <c r="A173" t="s">
        <v>420</v>
      </c>
      <c r="B173" t="s">
        <v>1902</v>
      </c>
      <c r="C173">
        <v>31</v>
      </c>
      <c r="D173" t="s">
        <v>41</v>
      </c>
      <c r="E173" t="s">
        <v>34</v>
      </c>
      <c r="F173" t="s">
        <v>35</v>
      </c>
      <c r="G173" t="s">
        <v>100</v>
      </c>
      <c r="H173" t="s">
        <v>129</v>
      </c>
      <c r="I173" t="s">
        <v>27</v>
      </c>
      <c r="J173" t="s">
        <v>421</v>
      </c>
      <c r="K173">
        <v>2022</v>
      </c>
      <c r="L173">
        <v>2</v>
      </c>
      <c r="M173">
        <v>4</v>
      </c>
      <c r="N173" t="s">
        <v>85</v>
      </c>
      <c r="O173">
        <v>2</v>
      </c>
      <c r="P173">
        <v>4</v>
      </c>
      <c r="Q173" t="s">
        <v>31</v>
      </c>
      <c r="R173">
        <v>22</v>
      </c>
      <c r="S173">
        <v>47</v>
      </c>
      <c r="T173">
        <v>57019</v>
      </c>
      <c r="U173">
        <v>10300</v>
      </c>
      <c r="V173">
        <v>6.2</v>
      </c>
      <c r="W173" t="s">
        <v>31</v>
      </c>
    </row>
    <row r="174" spans="1:23" x14ac:dyDescent="0.3">
      <c r="A174" t="s">
        <v>422</v>
      </c>
      <c r="B174" t="s">
        <v>1936</v>
      </c>
      <c r="C174">
        <v>44</v>
      </c>
      <c r="D174" t="s">
        <v>33</v>
      </c>
      <c r="E174" t="s">
        <v>61</v>
      </c>
      <c r="F174" t="s">
        <v>35</v>
      </c>
      <c r="G174" t="s">
        <v>82</v>
      </c>
      <c r="H174" t="s">
        <v>138</v>
      </c>
      <c r="I174" t="s">
        <v>27</v>
      </c>
      <c r="J174" t="s">
        <v>106</v>
      </c>
      <c r="K174">
        <v>2022</v>
      </c>
      <c r="L174">
        <v>2</v>
      </c>
      <c r="M174">
        <v>19</v>
      </c>
      <c r="N174" t="s">
        <v>98</v>
      </c>
      <c r="O174">
        <v>1</v>
      </c>
      <c r="P174">
        <v>2</v>
      </c>
      <c r="Q174" t="s">
        <v>31</v>
      </c>
      <c r="R174">
        <v>13</v>
      </c>
      <c r="S174">
        <v>63</v>
      </c>
      <c r="T174">
        <v>62691</v>
      </c>
      <c r="U174">
        <v>4500</v>
      </c>
      <c r="V174">
        <v>13.3</v>
      </c>
      <c r="W174" t="s">
        <v>31</v>
      </c>
    </row>
    <row r="175" spans="1:23" x14ac:dyDescent="0.3">
      <c r="A175" t="s">
        <v>423</v>
      </c>
      <c r="B175" t="s">
        <v>1937</v>
      </c>
      <c r="C175">
        <v>39</v>
      </c>
      <c r="D175" t="s">
        <v>22</v>
      </c>
      <c r="E175" t="s">
        <v>56</v>
      </c>
      <c r="F175" t="s">
        <v>57</v>
      </c>
      <c r="G175" t="s">
        <v>52</v>
      </c>
      <c r="H175" t="s">
        <v>53</v>
      </c>
      <c r="I175" t="s">
        <v>27</v>
      </c>
      <c r="J175" t="s">
        <v>424</v>
      </c>
      <c r="K175">
        <v>2023</v>
      </c>
      <c r="L175">
        <v>1</v>
      </c>
      <c r="M175">
        <v>9</v>
      </c>
      <c r="N175" t="s">
        <v>29</v>
      </c>
      <c r="O175">
        <v>3</v>
      </c>
      <c r="P175">
        <v>3</v>
      </c>
      <c r="Q175" t="s">
        <v>31</v>
      </c>
      <c r="R175">
        <v>11</v>
      </c>
      <c r="S175">
        <v>46</v>
      </c>
      <c r="T175">
        <v>48126</v>
      </c>
      <c r="U175">
        <v>6200</v>
      </c>
      <c r="V175">
        <v>3.7</v>
      </c>
      <c r="W175" t="s">
        <v>31</v>
      </c>
    </row>
    <row r="176" spans="1:23" x14ac:dyDescent="0.3">
      <c r="A176" t="s">
        <v>425</v>
      </c>
      <c r="B176" t="s">
        <v>1938</v>
      </c>
      <c r="C176">
        <v>37</v>
      </c>
      <c r="D176" t="s">
        <v>41</v>
      </c>
      <c r="E176" t="s">
        <v>34</v>
      </c>
      <c r="F176" t="s">
        <v>153</v>
      </c>
      <c r="G176" t="s">
        <v>52</v>
      </c>
      <c r="H176" t="s">
        <v>208</v>
      </c>
      <c r="I176" t="s">
        <v>27</v>
      </c>
      <c r="J176" t="s">
        <v>426</v>
      </c>
      <c r="K176">
        <v>2023</v>
      </c>
      <c r="L176">
        <v>1</v>
      </c>
      <c r="M176">
        <v>7</v>
      </c>
      <c r="N176" t="s">
        <v>29</v>
      </c>
      <c r="O176">
        <v>4</v>
      </c>
      <c r="P176">
        <v>2</v>
      </c>
      <c r="Q176" t="s">
        <v>31</v>
      </c>
      <c r="R176">
        <v>5</v>
      </c>
      <c r="S176">
        <v>43</v>
      </c>
      <c r="T176">
        <v>63652</v>
      </c>
      <c r="U176">
        <v>8200</v>
      </c>
      <c r="V176">
        <v>8.8000000000000007</v>
      </c>
      <c r="W176" t="s">
        <v>31</v>
      </c>
    </row>
    <row r="177" spans="1:23" x14ac:dyDescent="0.3">
      <c r="A177" t="s">
        <v>427</v>
      </c>
      <c r="B177" t="s">
        <v>1939</v>
      </c>
      <c r="C177">
        <v>36</v>
      </c>
      <c r="D177" t="s">
        <v>33</v>
      </c>
      <c r="E177" t="s">
        <v>34</v>
      </c>
      <c r="F177" t="s">
        <v>24</v>
      </c>
      <c r="G177" t="s">
        <v>36</v>
      </c>
      <c r="H177" t="s">
        <v>89</v>
      </c>
      <c r="I177" t="s">
        <v>27</v>
      </c>
      <c r="J177" t="s">
        <v>428</v>
      </c>
      <c r="K177">
        <v>2021</v>
      </c>
      <c r="L177">
        <v>3</v>
      </c>
      <c r="M177">
        <v>11</v>
      </c>
      <c r="N177" t="s">
        <v>29</v>
      </c>
      <c r="O177">
        <v>5</v>
      </c>
      <c r="P177">
        <v>4</v>
      </c>
      <c r="Q177" t="s">
        <v>31</v>
      </c>
      <c r="R177">
        <v>13</v>
      </c>
      <c r="S177">
        <v>21</v>
      </c>
      <c r="T177">
        <v>87795</v>
      </c>
      <c r="U177">
        <v>9600</v>
      </c>
      <c r="V177">
        <v>10.7</v>
      </c>
      <c r="W177" t="s">
        <v>31</v>
      </c>
    </row>
    <row r="178" spans="1:23" x14ac:dyDescent="0.3">
      <c r="A178" t="s">
        <v>429</v>
      </c>
      <c r="B178" t="s">
        <v>1940</v>
      </c>
      <c r="C178">
        <v>28</v>
      </c>
      <c r="D178" t="s">
        <v>33</v>
      </c>
      <c r="E178" t="s">
        <v>34</v>
      </c>
      <c r="F178" t="s">
        <v>42</v>
      </c>
      <c r="G178" t="s">
        <v>36</v>
      </c>
      <c r="H178" t="s">
        <v>37</v>
      </c>
      <c r="I178" t="s">
        <v>27</v>
      </c>
      <c r="J178" t="s">
        <v>430</v>
      </c>
      <c r="K178">
        <v>2022</v>
      </c>
      <c r="L178">
        <v>2</v>
      </c>
      <c r="M178">
        <v>3</v>
      </c>
      <c r="N178" t="s">
        <v>85</v>
      </c>
      <c r="O178">
        <v>1</v>
      </c>
      <c r="P178">
        <v>1</v>
      </c>
      <c r="Q178" t="s">
        <v>31</v>
      </c>
      <c r="R178">
        <v>8</v>
      </c>
      <c r="S178">
        <v>79</v>
      </c>
      <c r="T178">
        <v>51750</v>
      </c>
      <c r="U178">
        <v>12200</v>
      </c>
      <c r="V178">
        <v>8.6999999999999993</v>
      </c>
      <c r="W178" t="s">
        <v>30</v>
      </c>
    </row>
    <row r="179" spans="1:23" x14ac:dyDescent="0.3">
      <c r="A179" t="s">
        <v>431</v>
      </c>
      <c r="B179" t="s">
        <v>1935</v>
      </c>
      <c r="C179">
        <v>34</v>
      </c>
      <c r="D179" t="s">
        <v>41</v>
      </c>
      <c r="E179" t="s">
        <v>34</v>
      </c>
      <c r="F179" t="s">
        <v>24</v>
      </c>
      <c r="G179" t="s">
        <v>43</v>
      </c>
      <c r="H179" t="s">
        <v>44</v>
      </c>
      <c r="I179" t="s">
        <v>79</v>
      </c>
      <c r="J179" t="s">
        <v>432</v>
      </c>
      <c r="K179">
        <v>2024</v>
      </c>
      <c r="L179">
        <v>0</v>
      </c>
      <c r="M179">
        <v>8</v>
      </c>
      <c r="N179" t="s">
        <v>85</v>
      </c>
      <c r="O179">
        <v>4</v>
      </c>
      <c r="P179">
        <v>5</v>
      </c>
      <c r="Q179" t="s">
        <v>31</v>
      </c>
      <c r="R179">
        <v>8</v>
      </c>
      <c r="S179">
        <v>70</v>
      </c>
      <c r="T179">
        <v>86569</v>
      </c>
      <c r="U179">
        <v>19700</v>
      </c>
      <c r="V179">
        <v>3.3</v>
      </c>
      <c r="W179" t="s">
        <v>31</v>
      </c>
    </row>
    <row r="180" spans="1:23" x14ac:dyDescent="0.3">
      <c r="A180" t="s">
        <v>433</v>
      </c>
      <c r="B180" t="s">
        <v>1941</v>
      </c>
      <c r="C180">
        <v>43</v>
      </c>
      <c r="D180" t="s">
        <v>41</v>
      </c>
      <c r="E180" t="s">
        <v>71</v>
      </c>
      <c r="F180" t="s">
        <v>24</v>
      </c>
      <c r="G180" t="s">
        <v>43</v>
      </c>
      <c r="H180" t="s">
        <v>48</v>
      </c>
      <c r="I180" t="s">
        <v>27</v>
      </c>
      <c r="J180" t="s">
        <v>434</v>
      </c>
      <c r="K180">
        <v>2022</v>
      </c>
      <c r="L180">
        <v>2</v>
      </c>
      <c r="M180">
        <v>15</v>
      </c>
      <c r="N180" t="s">
        <v>29</v>
      </c>
      <c r="O180">
        <v>2</v>
      </c>
      <c r="P180">
        <v>3</v>
      </c>
      <c r="Q180" t="s">
        <v>31</v>
      </c>
      <c r="R180">
        <v>0</v>
      </c>
      <c r="S180">
        <v>0</v>
      </c>
      <c r="T180">
        <v>139964</v>
      </c>
      <c r="U180">
        <v>15800</v>
      </c>
      <c r="V180">
        <v>9.5</v>
      </c>
      <c r="W180" t="s">
        <v>31</v>
      </c>
    </row>
    <row r="181" spans="1:23" x14ac:dyDescent="0.3">
      <c r="A181" t="s">
        <v>435</v>
      </c>
      <c r="B181" t="s">
        <v>1942</v>
      </c>
      <c r="C181">
        <v>42</v>
      </c>
      <c r="D181" t="s">
        <v>41</v>
      </c>
      <c r="E181" t="s">
        <v>34</v>
      </c>
      <c r="F181" t="s">
        <v>42</v>
      </c>
      <c r="G181" t="s">
        <v>82</v>
      </c>
      <c r="H181" t="s">
        <v>83</v>
      </c>
      <c r="I181" t="s">
        <v>27</v>
      </c>
      <c r="J181" t="s">
        <v>436</v>
      </c>
      <c r="K181">
        <v>2021</v>
      </c>
      <c r="L181">
        <v>3</v>
      </c>
      <c r="M181">
        <v>16</v>
      </c>
      <c r="N181" t="s">
        <v>98</v>
      </c>
      <c r="O181">
        <v>2</v>
      </c>
      <c r="P181">
        <v>2</v>
      </c>
      <c r="Q181" t="s">
        <v>30</v>
      </c>
      <c r="R181">
        <v>22</v>
      </c>
      <c r="S181">
        <v>49</v>
      </c>
      <c r="T181">
        <v>73209</v>
      </c>
      <c r="U181">
        <v>5300</v>
      </c>
      <c r="V181">
        <v>12.6</v>
      </c>
      <c r="W181" t="s">
        <v>31</v>
      </c>
    </row>
    <row r="182" spans="1:23" x14ac:dyDescent="0.3">
      <c r="A182" t="s">
        <v>437</v>
      </c>
      <c r="B182" t="s">
        <v>1943</v>
      </c>
      <c r="C182">
        <v>46</v>
      </c>
      <c r="D182" t="s">
        <v>41</v>
      </c>
      <c r="E182" t="s">
        <v>34</v>
      </c>
      <c r="F182" t="s">
        <v>57</v>
      </c>
      <c r="G182" t="s">
        <v>25</v>
      </c>
      <c r="H182" t="s">
        <v>110</v>
      </c>
      <c r="I182" t="s">
        <v>27</v>
      </c>
      <c r="J182" t="s">
        <v>438</v>
      </c>
      <c r="K182">
        <v>2022</v>
      </c>
      <c r="L182">
        <v>2</v>
      </c>
      <c r="M182">
        <v>20</v>
      </c>
      <c r="N182" t="s">
        <v>29</v>
      </c>
      <c r="O182">
        <v>5</v>
      </c>
      <c r="P182">
        <v>4</v>
      </c>
      <c r="Q182" t="s">
        <v>30</v>
      </c>
      <c r="R182">
        <v>8</v>
      </c>
      <c r="S182">
        <v>79</v>
      </c>
      <c r="T182">
        <v>103688</v>
      </c>
      <c r="U182">
        <v>11300</v>
      </c>
      <c r="V182">
        <v>5.3</v>
      </c>
      <c r="W182" t="s">
        <v>30</v>
      </c>
    </row>
    <row r="183" spans="1:23" x14ac:dyDescent="0.3">
      <c r="A183" t="s">
        <v>439</v>
      </c>
      <c r="B183" t="s">
        <v>1944</v>
      </c>
      <c r="C183">
        <v>29</v>
      </c>
      <c r="D183" t="s">
        <v>41</v>
      </c>
      <c r="E183" t="s">
        <v>34</v>
      </c>
      <c r="F183" t="s">
        <v>24</v>
      </c>
      <c r="G183" t="s">
        <v>25</v>
      </c>
      <c r="H183" t="s">
        <v>110</v>
      </c>
      <c r="I183" t="s">
        <v>27</v>
      </c>
      <c r="J183" t="s">
        <v>440</v>
      </c>
      <c r="K183">
        <v>2021</v>
      </c>
      <c r="L183">
        <v>3</v>
      </c>
      <c r="M183">
        <v>6</v>
      </c>
      <c r="N183" t="s">
        <v>98</v>
      </c>
      <c r="O183">
        <v>4</v>
      </c>
      <c r="P183">
        <v>3</v>
      </c>
      <c r="Q183" t="s">
        <v>31</v>
      </c>
      <c r="R183">
        <v>14</v>
      </c>
      <c r="S183">
        <v>4</v>
      </c>
      <c r="T183">
        <v>63194</v>
      </c>
      <c r="U183">
        <v>4800</v>
      </c>
      <c r="V183">
        <v>5.8</v>
      </c>
      <c r="W183" t="s">
        <v>31</v>
      </c>
    </row>
    <row r="184" spans="1:23" x14ac:dyDescent="0.3">
      <c r="A184" t="s">
        <v>441</v>
      </c>
      <c r="B184" t="s">
        <v>1945</v>
      </c>
      <c r="C184">
        <v>36</v>
      </c>
      <c r="D184" t="s">
        <v>41</v>
      </c>
      <c r="E184" t="s">
        <v>71</v>
      </c>
      <c r="F184" t="s">
        <v>75</v>
      </c>
      <c r="G184" t="s">
        <v>117</v>
      </c>
      <c r="H184" t="s">
        <v>184</v>
      </c>
      <c r="I184" t="s">
        <v>27</v>
      </c>
      <c r="J184" t="s">
        <v>442</v>
      </c>
      <c r="K184">
        <v>2021</v>
      </c>
      <c r="L184">
        <v>3</v>
      </c>
      <c r="M184">
        <v>13</v>
      </c>
      <c r="N184" t="s">
        <v>85</v>
      </c>
      <c r="O184">
        <v>4</v>
      </c>
      <c r="P184">
        <v>2</v>
      </c>
      <c r="Q184" t="s">
        <v>30</v>
      </c>
      <c r="R184">
        <v>23</v>
      </c>
      <c r="S184">
        <v>4</v>
      </c>
      <c r="T184">
        <v>66901</v>
      </c>
      <c r="U184">
        <v>15200</v>
      </c>
      <c r="V184">
        <v>12.8</v>
      </c>
      <c r="W184" t="s">
        <v>31</v>
      </c>
    </row>
    <row r="185" spans="1:23" x14ac:dyDescent="0.3">
      <c r="A185" t="s">
        <v>443</v>
      </c>
      <c r="B185" t="s">
        <v>1840</v>
      </c>
      <c r="C185">
        <v>37</v>
      </c>
      <c r="D185" t="s">
        <v>41</v>
      </c>
      <c r="E185" t="s">
        <v>34</v>
      </c>
      <c r="F185" t="s">
        <v>75</v>
      </c>
      <c r="G185" t="s">
        <v>36</v>
      </c>
      <c r="H185" t="s">
        <v>37</v>
      </c>
      <c r="I185" t="s">
        <v>27</v>
      </c>
      <c r="J185" t="s">
        <v>444</v>
      </c>
      <c r="K185">
        <v>2022</v>
      </c>
      <c r="L185">
        <v>2</v>
      </c>
      <c r="M185">
        <v>10</v>
      </c>
      <c r="N185" t="s">
        <v>85</v>
      </c>
      <c r="O185">
        <v>1</v>
      </c>
      <c r="P185">
        <v>2</v>
      </c>
      <c r="Q185" t="s">
        <v>31</v>
      </c>
      <c r="R185">
        <v>3</v>
      </c>
      <c r="S185">
        <v>30</v>
      </c>
      <c r="T185">
        <v>92725</v>
      </c>
      <c r="U185">
        <v>21800</v>
      </c>
      <c r="V185">
        <v>9.3000000000000007</v>
      </c>
      <c r="W185" t="s">
        <v>31</v>
      </c>
    </row>
    <row r="186" spans="1:23" x14ac:dyDescent="0.3">
      <c r="A186" t="s">
        <v>445</v>
      </c>
      <c r="B186" t="s">
        <v>1946</v>
      </c>
      <c r="C186">
        <v>38</v>
      </c>
      <c r="D186" t="s">
        <v>41</v>
      </c>
      <c r="E186" t="s">
        <v>34</v>
      </c>
      <c r="F186" t="s">
        <v>75</v>
      </c>
      <c r="G186" t="s">
        <v>43</v>
      </c>
      <c r="H186" t="s">
        <v>48</v>
      </c>
      <c r="I186" t="s">
        <v>27</v>
      </c>
      <c r="J186" t="s">
        <v>446</v>
      </c>
      <c r="K186">
        <v>2023</v>
      </c>
      <c r="L186">
        <v>1</v>
      </c>
      <c r="M186">
        <v>13</v>
      </c>
      <c r="N186" t="s">
        <v>29</v>
      </c>
      <c r="O186">
        <v>1</v>
      </c>
      <c r="P186">
        <v>5</v>
      </c>
      <c r="Q186" t="s">
        <v>31</v>
      </c>
      <c r="R186">
        <v>10</v>
      </c>
      <c r="S186">
        <v>80</v>
      </c>
      <c r="T186">
        <v>75504</v>
      </c>
      <c r="U186">
        <v>9800</v>
      </c>
      <c r="V186">
        <v>11.3</v>
      </c>
      <c r="W186" t="s">
        <v>31</v>
      </c>
    </row>
    <row r="187" spans="1:23" x14ac:dyDescent="0.3">
      <c r="A187" t="s">
        <v>447</v>
      </c>
      <c r="B187" t="s">
        <v>1947</v>
      </c>
      <c r="C187">
        <v>35</v>
      </c>
      <c r="D187" t="s">
        <v>41</v>
      </c>
      <c r="E187" t="s">
        <v>23</v>
      </c>
      <c r="F187" t="s">
        <v>35</v>
      </c>
      <c r="G187" t="s">
        <v>43</v>
      </c>
      <c r="H187" t="s">
        <v>72</v>
      </c>
      <c r="I187" t="s">
        <v>27</v>
      </c>
      <c r="J187" t="s">
        <v>448</v>
      </c>
      <c r="K187">
        <v>2021</v>
      </c>
      <c r="L187">
        <v>3</v>
      </c>
      <c r="M187">
        <v>8</v>
      </c>
      <c r="N187" t="s">
        <v>98</v>
      </c>
      <c r="O187">
        <v>1</v>
      </c>
      <c r="P187">
        <v>4</v>
      </c>
      <c r="Q187" t="s">
        <v>31</v>
      </c>
      <c r="R187">
        <v>22</v>
      </c>
      <c r="S187">
        <v>56</v>
      </c>
      <c r="T187">
        <v>115523</v>
      </c>
      <c r="U187">
        <v>7900</v>
      </c>
      <c r="V187">
        <v>5.3</v>
      </c>
      <c r="W187" t="s">
        <v>31</v>
      </c>
    </row>
    <row r="188" spans="1:23" x14ac:dyDescent="0.3">
      <c r="A188" t="s">
        <v>449</v>
      </c>
      <c r="B188" t="s">
        <v>1927</v>
      </c>
      <c r="C188">
        <v>40</v>
      </c>
      <c r="D188" t="s">
        <v>33</v>
      </c>
      <c r="E188" t="s">
        <v>34</v>
      </c>
      <c r="F188" t="s">
        <v>47</v>
      </c>
      <c r="G188" t="s">
        <v>63</v>
      </c>
      <c r="H188" t="s">
        <v>337</v>
      </c>
      <c r="I188" t="s">
        <v>27</v>
      </c>
      <c r="J188" t="s">
        <v>450</v>
      </c>
      <c r="K188">
        <v>2022</v>
      </c>
      <c r="L188">
        <v>2</v>
      </c>
      <c r="M188">
        <v>11</v>
      </c>
      <c r="N188" t="s">
        <v>29</v>
      </c>
      <c r="O188">
        <v>4</v>
      </c>
      <c r="P188">
        <v>1</v>
      </c>
      <c r="Q188" t="s">
        <v>31</v>
      </c>
      <c r="R188">
        <v>24</v>
      </c>
      <c r="S188">
        <v>64</v>
      </c>
      <c r="T188">
        <v>62241</v>
      </c>
      <c r="U188">
        <v>8500</v>
      </c>
      <c r="V188">
        <v>4.9000000000000004</v>
      </c>
      <c r="W188" t="s">
        <v>31</v>
      </c>
    </row>
    <row r="189" spans="1:23" x14ac:dyDescent="0.3">
      <c r="A189" t="s">
        <v>451</v>
      </c>
      <c r="B189" t="s">
        <v>1948</v>
      </c>
      <c r="C189">
        <v>34</v>
      </c>
      <c r="D189" t="s">
        <v>33</v>
      </c>
      <c r="E189" t="s">
        <v>71</v>
      </c>
      <c r="F189" t="s">
        <v>153</v>
      </c>
      <c r="G189" t="s">
        <v>43</v>
      </c>
      <c r="H189" t="s">
        <v>48</v>
      </c>
      <c r="I189" t="s">
        <v>27</v>
      </c>
      <c r="J189" t="s">
        <v>452</v>
      </c>
      <c r="K189">
        <v>2023</v>
      </c>
      <c r="L189">
        <v>1</v>
      </c>
      <c r="M189">
        <v>11</v>
      </c>
      <c r="N189" t="s">
        <v>85</v>
      </c>
      <c r="O189">
        <v>1</v>
      </c>
      <c r="P189">
        <v>1</v>
      </c>
      <c r="Q189" t="s">
        <v>30</v>
      </c>
      <c r="R189">
        <v>16</v>
      </c>
      <c r="S189">
        <v>8</v>
      </c>
      <c r="T189">
        <v>120789</v>
      </c>
      <c r="U189">
        <v>25900</v>
      </c>
      <c r="V189">
        <v>12.2</v>
      </c>
      <c r="W189" t="s">
        <v>31</v>
      </c>
    </row>
    <row r="190" spans="1:23" x14ac:dyDescent="0.3">
      <c r="A190" t="s">
        <v>453</v>
      </c>
      <c r="B190" t="s">
        <v>1949</v>
      </c>
      <c r="C190">
        <v>41</v>
      </c>
      <c r="D190" t="s">
        <v>33</v>
      </c>
      <c r="E190" t="s">
        <v>34</v>
      </c>
      <c r="F190" t="s">
        <v>137</v>
      </c>
      <c r="G190" t="s">
        <v>36</v>
      </c>
      <c r="H190" t="s">
        <v>76</v>
      </c>
      <c r="I190" t="s">
        <v>27</v>
      </c>
      <c r="J190" t="s">
        <v>454</v>
      </c>
      <c r="K190">
        <v>2021</v>
      </c>
      <c r="L190">
        <v>3</v>
      </c>
      <c r="M190">
        <v>16</v>
      </c>
      <c r="N190" t="s">
        <v>29</v>
      </c>
      <c r="O190">
        <v>5</v>
      </c>
      <c r="P190">
        <v>1</v>
      </c>
      <c r="Q190" t="s">
        <v>31</v>
      </c>
      <c r="R190">
        <v>0</v>
      </c>
      <c r="S190">
        <v>26</v>
      </c>
      <c r="T190">
        <v>82421</v>
      </c>
      <c r="U190">
        <v>9400</v>
      </c>
      <c r="V190">
        <v>8.9</v>
      </c>
      <c r="W190" t="s">
        <v>31</v>
      </c>
    </row>
    <row r="191" spans="1:23" x14ac:dyDescent="0.3">
      <c r="A191" t="s">
        <v>455</v>
      </c>
      <c r="B191" t="s">
        <v>1950</v>
      </c>
      <c r="C191">
        <v>42</v>
      </c>
      <c r="D191" t="s">
        <v>33</v>
      </c>
      <c r="E191" t="s">
        <v>71</v>
      </c>
      <c r="F191" t="s">
        <v>57</v>
      </c>
      <c r="G191" t="s">
        <v>43</v>
      </c>
      <c r="H191" t="s">
        <v>48</v>
      </c>
      <c r="I191" t="s">
        <v>79</v>
      </c>
      <c r="J191" t="s">
        <v>456</v>
      </c>
      <c r="K191">
        <v>2024</v>
      </c>
      <c r="L191">
        <v>0</v>
      </c>
      <c r="M191">
        <v>12</v>
      </c>
      <c r="N191" t="s">
        <v>98</v>
      </c>
      <c r="O191">
        <v>1</v>
      </c>
      <c r="P191">
        <v>2</v>
      </c>
      <c r="Q191" t="s">
        <v>31</v>
      </c>
      <c r="R191">
        <v>16</v>
      </c>
      <c r="S191">
        <v>12</v>
      </c>
      <c r="T191">
        <v>124519</v>
      </c>
      <c r="U191">
        <v>9700</v>
      </c>
      <c r="V191">
        <v>3.7</v>
      </c>
      <c r="W191" t="s">
        <v>31</v>
      </c>
    </row>
    <row r="192" spans="1:23" x14ac:dyDescent="0.3">
      <c r="A192" t="s">
        <v>457</v>
      </c>
      <c r="B192" t="s">
        <v>1951</v>
      </c>
      <c r="C192">
        <v>32</v>
      </c>
      <c r="D192" t="s">
        <v>33</v>
      </c>
      <c r="E192" t="s">
        <v>71</v>
      </c>
      <c r="F192" t="s">
        <v>153</v>
      </c>
      <c r="G192" t="s">
        <v>43</v>
      </c>
      <c r="H192" t="s">
        <v>72</v>
      </c>
      <c r="I192" t="s">
        <v>79</v>
      </c>
      <c r="J192" t="s">
        <v>458</v>
      </c>
      <c r="K192">
        <v>2022</v>
      </c>
      <c r="L192">
        <v>2</v>
      </c>
      <c r="M192">
        <v>8</v>
      </c>
      <c r="N192" t="s">
        <v>98</v>
      </c>
      <c r="O192">
        <v>2</v>
      </c>
      <c r="P192">
        <v>2</v>
      </c>
      <c r="Q192" t="s">
        <v>31</v>
      </c>
      <c r="R192">
        <v>17</v>
      </c>
      <c r="S192">
        <v>51</v>
      </c>
      <c r="T192">
        <v>124419</v>
      </c>
      <c r="U192">
        <v>9600</v>
      </c>
      <c r="V192">
        <v>9.9</v>
      </c>
      <c r="W192" t="s">
        <v>31</v>
      </c>
    </row>
    <row r="193" spans="1:23" x14ac:dyDescent="0.3">
      <c r="A193" t="s">
        <v>459</v>
      </c>
      <c r="B193" t="s">
        <v>1952</v>
      </c>
      <c r="C193">
        <v>45</v>
      </c>
      <c r="D193" t="s">
        <v>33</v>
      </c>
      <c r="E193" t="s">
        <v>61</v>
      </c>
      <c r="F193" t="s">
        <v>75</v>
      </c>
      <c r="G193" t="s">
        <v>43</v>
      </c>
      <c r="H193" t="s">
        <v>96</v>
      </c>
      <c r="I193" t="s">
        <v>27</v>
      </c>
      <c r="J193" t="s">
        <v>460</v>
      </c>
      <c r="K193">
        <v>2024</v>
      </c>
      <c r="L193">
        <v>0</v>
      </c>
      <c r="M193">
        <v>18</v>
      </c>
      <c r="N193" t="s">
        <v>98</v>
      </c>
      <c r="O193">
        <v>5</v>
      </c>
      <c r="P193">
        <v>3</v>
      </c>
      <c r="Q193" t="s">
        <v>31</v>
      </c>
      <c r="R193">
        <v>11</v>
      </c>
      <c r="S193">
        <v>57</v>
      </c>
      <c r="T193">
        <v>124046</v>
      </c>
      <c r="U193">
        <v>8400</v>
      </c>
      <c r="V193">
        <v>11.7</v>
      </c>
      <c r="W193" t="s">
        <v>31</v>
      </c>
    </row>
    <row r="194" spans="1:23" x14ac:dyDescent="0.3">
      <c r="A194" t="s">
        <v>461</v>
      </c>
      <c r="B194" t="s">
        <v>1953</v>
      </c>
      <c r="C194">
        <v>31</v>
      </c>
      <c r="D194" t="s">
        <v>33</v>
      </c>
      <c r="E194" t="s">
        <v>34</v>
      </c>
      <c r="F194" t="s">
        <v>47</v>
      </c>
      <c r="G194" t="s">
        <v>43</v>
      </c>
      <c r="H194" t="s">
        <v>48</v>
      </c>
      <c r="I194" t="s">
        <v>65</v>
      </c>
      <c r="J194" t="s">
        <v>401</v>
      </c>
      <c r="K194">
        <v>2021</v>
      </c>
      <c r="L194">
        <v>3</v>
      </c>
      <c r="M194">
        <v>1</v>
      </c>
      <c r="N194" t="s">
        <v>85</v>
      </c>
      <c r="O194">
        <v>5</v>
      </c>
      <c r="P194">
        <v>5</v>
      </c>
      <c r="Q194" t="s">
        <v>31</v>
      </c>
      <c r="R194">
        <v>18</v>
      </c>
      <c r="S194">
        <v>73</v>
      </c>
      <c r="T194">
        <v>109562</v>
      </c>
      <c r="U194">
        <v>26200</v>
      </c>
      <c r="V194">
        <v>5.6</v>
      </c>
      <c r="W194" t="s">
        <v>31</v>
      </c>
    </row>
    <row r="195" spans="1:23" x14ac:dyDescent="0.3">
      <c r="A195" t="s">
        <v>462</v>
      </c>
      <c r="B195" t="s">
        <v>1909</v>
      </c>
      <c r="C195">
        <v>37</v>
      </c>
      <c r="D195" t="s">
        <v>41</v>
      </c>
      <c r="E195" t="s">
        <v>34</v>
      </c>
      <c r="F195" t="s">
        <v>24</v>
      </c>
      <c r="G195" t="s">
        <v>63</v>
      </c>
      <c r="H195" t="s">
        <v>64</v>
      </c>
      <c r="I195" t="s">
        <v>27</v>
      </c>
      <c r="J195" t="s">
        <v>463</v>
      </c>
      <c r="K195">
        <v>2022</v>
      </c>
      <c r="L195">
        <v>2</v>
      </c>
      <c r="M195">
        <v>12</v>
      </c>
      <c r="N195" t="s">
        <v>29</v>
      </c>
      <c r="O195">
        <v>2</v>
      </c>
      <c r="P195">
        <v>4</v>
      </c>
      <c r="Q195" t="s">
        <v>30</v>
      </c>
      <c r="R195">
        <v>22</v>
      </c>
      <c r="S195">
        <v>73</v>
      </c>
      <c r="T195">
        <v>61577</v>
      </c>
      <c r="U195">
        <v>7600</v>
      </c>
      <c r="V195">
        <v>9.8000000000000007</v>
      </c>
      <c r="W195" t="s">
        <v>31</v>
      </c>
    </row>
    <row r="196" spans="1:23" x14ac:dyDescent="0.3">
      <c r="A196" t="s">
        <v>464</v>
      </c>
      <c r="B196" t="s">
        <v>1954</v>
      </c>
      <c r="C196">
        <v>29</v>
      </c>
      <c r="D196" t="s">
        <v>33</v>
      </c>
      <c r="E196" t="s">
        <v>34</v>
      </c>
      <c r="F196" t="s">
        <v>62</v>
      </c>
      <c r="G196" t="s">
        <v>43</v>
      </c>
      <c r="H196" t="s">
        <v>72</v>
      </c>
      <c r="I196" t="s">
        <v>65</v>
      </c>
      <c r="J196" t="s">
        <v>465</v>
      </c>
      <c r="K196">
        <v>2024</v>
      </c>
      <c r="L196">
        <v>0</v>
      </c>
      <c r="M196">
        <v>2</v>
      </c>
      <c r="N196" t="s">
        <v>29</v>
      </c>
      <c r="O196">
        <v>4</v>
      </c>
      <c r="P196">
        <v>1</v>
      </c>
      <c r="Q196" t="s">
        <v>31</v>
      </c>
      <c r="R196">
        <v>9</v>
      </c>
      <c r="S196">
        <v>67</v>
      </c>
      <c r="T196">
        <v>126925</v>
      </c>
      <c r="U196">
        <v>17500</v>
      </c>
      <c r="V196">
        <v>13.4</v>
      </c>
      <c r="W196" t="s">
        <v>31</v>
      </c>
    </row>
    <row r="197" spans="1:23" x14ac:dyDescent="0.3">
      <c r="A197" t="s">
        <v>466</v>
      </c>
      <c r="B197" t="s">
        <v>1810</v>
      </c>
      <c r="C197">
        <v>32</v>
      </c>
      <c r="D197" t="s">
        <v>41</v>
      </c>
      <c r="E197" t="s">
        <v>34</v>
      </c>
      <c r="F197" t="s">
        <v>153</v>
      </c>
      <c r="G197" t="s">
        <v>63</v>
      </c>
      <c r="H197" t="s">
        <v>310</v>
      </c>
      <c r="I197" t="s">
        <v>27</v>
      </c>
      <c r="J197" t="s">
        <v>467</v>
      </c>
      <c r="K197">
        <v>2023</v>
      </c>
      <c r="L197">
        <v>1</v>
      </c>
      <c r="M197">
        <v>8</v>
      </c>
      <c r="N197" t="s">
        <v>39</v>
      </c>
      <c r="O197">
        <v>3</v>
      </c>
      <c r="P197">
        <v>1</v>
      </c>
      <c r="Q197" t="s">
        <v>31</v>
      </c>
      <c r="R197">
        <v>15</v>
      </c>
      <c r="S197">
        <v>73</v>
      </c>
      <c r="T197">
        <v>58972</v>
      </c>
      <c r="U197">
        <v>2100</v>
      </c>
      <c r="V197">
        <v>12</v>
      </c>
      <c r="W197" t="s">
        <v>30</v>
      </c>
    </row>
    <row r="198" spans="1:23" x14ac:dyDescent="0.3">
      <c r="A198" t="s">
        <v>468</v>
      </c>
      <c r="B198" t="s">
        <v>1955</v>
      </c>
      <c r="C198">
        <v>29</v>
      </c>
      <c r="D198" t="s">
        <v>33</v>
      </c>
      <c r="E198" t="s">
        <v>71</v>
      </c>
      <c r="F198" t="s">
        <v>75</v>
      </c>
      <c r="G198" t="s">
        <v>100</v>
      </c>
      <c r="H198" t="s">
        <v>150</v>
      </c>
      <c r="I198" t="s">
        <v>27</v>
      </c>
      <c r="J198" t="s">
        <v>469</v>
      </c>
      <c r="K198">
        <v>2024</v>
      </c>
      <c r="L198">
        <v>0</v>
      </c>
      <c r="M198">
        <v>5</v>
      </c>
      <c r="N198" t="s">
        <v>29</v>
      </c>
      <c r="O198">
        <v>3</v>
      </c>
      <c r="P198">
        <v>4</v>
      </c>
      <c r="Q198" t="s">
        <v>31</v>
      </c>
      <c r="R198">
        <v>10</v>
      </c>
      <c r="S198">
        <v>73</v>
      </c>
      <c r="T198">
        <v>52983</v>
      </c>
      <c r="U198">
        <v>6700</v>
      </c>
      <c r="V198">
        <v>5.4</v>
      </c>
      <c r="W198" t="s">
        <v>31</v>
      </c>
    </row>
    <row r="199" spans="1:23" x14ac:dyDescent="0.3">
      <c r="A199" t="s">
        <v>470</v>
      </c>
      <c r="B199" t="s">
        <v>1919</v>
      </c>
      <c r="C199">
        <v>38</v>
      </c>
      <c r="D199" t="s">
        <v>41</v>
      </c>
      <c r="E199" t="s">
        <v>71</v>
      </c>
      <c r="F199" t="s">
        <v>62</v>
      </c>
      <c r="G199" t="s">
        <v>36</v>
      </c>
      <c r="H199" t="s">
        <v>76</v>
      </c>
      <c r="I199" t="s">
        <v>27</v>
      </c>
      <c r="J199" t="s">
        <v>471</v>
      </c>
      <c r="K199">
        <v>2023</v>
      </c>
      <c r="L199">
        <v>1</v>
      </c>
      <c r="M199">
        <v>11</v>
      </c>
      <c r="N199" t="s">
        <v>98</v>
      </c>
      <c r="O199">
        <v>1</v>
      </c>
      <c r="P199">
        <v>2</v>
      </c>
      <c r="Q199" t="s">
        <v>31</v>
      </c>
      <c r="R199">
        <v>6</v>
      </c>
      <c r="S199">
        <v>47</v>
      </c>
      <c r="T199">
        <v>46586</v>
      </c>
      <c r="U199">
        <v>2800</v>
      </c>
      <c r="V199">
        <v>7.2</v>
      </c>
      <c r="W199" t="s">
        <v>31</v>
      </c>
    </row>
    <row r="200" spans="1:23" x14ac:dyDescent="0.3">
      <c r="A200" t="s">
        <v>472</v>
      </c>
      <c r="B200" t="s">
        <v>1950</v>
      </c>
      <c r="C200">
        <v>32</v>
      </c>
      <c r="D200" t="s">
        <v>33</v>
      </c>
      <c r="E200" t="s">
        <v>56</v>
      </c>
      <c r="F200" t="s">
        <v>75</v>
      </c>
      <c r="G200" t="s">
        <v>117</v>
      </c>
      <c r="H200" t="s">
        <v>198</v>
      </c>
      <c r="I200" t="s">
        <v>27</v>
      </c>
      <c r="J200" t="s">
        <v>473</v>
      </c>
      <c r="K200">
        <v>2021</v>
      </c>
      <c r="L200">
        <v>3</v>
      </c>
      <c r="M200">
        <v>8</v>
      </c>
      <c r="N200" t="s">
        <v>85</v>
      </c>
      <c r="O200">
        <v>2</v>
      </c>
      <c r="P200">
        <v>2</v>
      </c>
      <c r="Q200" t="s">
        <v>30</v>
      </c>
      <c r="R200">
        <v>17</v>
      </c>
      <c r="S200">
        <v>66</v>
      </c>
      <c r="T200">
        <v>73853</v>
      </c>
      <c r="U200">
        <v>15900</v>
      </c>
      <c r="V200">
        <v>4.3</v>
      </c>
      <c r="W200" t="s">
        <v>31</v>
      </c>
    </row>
    <row r="201" spans="1:23" x14ac:dyDescent="0.3">
      <c r="A201" t="s">
        <v>474</v>
      </c>
      <c r="B201" t="s">
        <v>1956</v>
      </c>
      <c r="C201">
        <v>29</v>
      </c>
      <c r="D201" t="s">
        <v>33</v>
      </c>
      <c r="E201" t="s">
        <v>71</v>
      </c>
      <c r="F201" t="s">
        <v>47</v>
      </c>
      <c r="G201" t="s">
        <v>52</v>
      </c>
      <c r="H201" t="s">
        <v>208</v>
      </c>
      <c r="I201" t="s">
        <v>27</v>
      </c>
      <c r="J201" t="s">
        <v>475</v>
      </c>
      <c r="K201">
        <v>2022</v>
      </c>
      <c r="L201">
        <v>2</v>
      </c>
      <c r="M201">
        <v>1</v>
      </c>
      <c r="N201" t="s">
        <v>29</v>
      </c>
      <c r="O201">
        <v>1</v>
      </c>
      <c r="P201">
        <v>1</v>
      </c>
      <c r="Q201" t="s">
        <v>31</v>
      </c>
      <c r="R201">
        <v>12</v>
      </c>
      <c r="S201">
        <v>34</v>
      </c>
      <c r="T201">
        <v>88484</v>
      </c>
      <c r="U201">
        <v>9600</v>
      </c>
      <c r="V201">
        <v>3.7</v>
      </c>
      <c r="W201" t="s">
        <v>31</v>
      </c>
    </row>
    <row r="202" spans="1:23" x14ac:dyDescent="0.3">
      <c r="A202" t="s">
        <v>476</v>
      </c>
      <c r="B202" t="s">
        <v>1957</v>
      </c>
      <c r="C202">
        <v>40</v>
      </c>
      <c r="D202" t="s">
        <v>33</v>
      </c>
      <c r="E202" t="s">
        <v>56</v>
      </c>
      <c r="F202" t="s">
        <v>137</v>
      </c>
      <c r="G202" t="s">
        <v>117</v>
      </c>
      <c r="H202" t="s">
        <v>184</v>
      </c>
      <c r="I202" t="s">
        <v>27</v>
      </c>
      <c r="J202" t="s">
        <v>477</v>
      </c>
      <c r="K202">
        <v>2024</v>
      </c>
      <c r="L202">
        <v>0</v>
      </c>
      <c r="M202">
        <v>17</v>
      </c>
      <c r="N202" t="s">
        <v>98</v>
      </c>
      <c r="O202">
        <v>5</v>
      </c>
      <c r="P202">
        <v>3</v>
      </c>
      <c r="Q202" t="s">
        <v>31</v>
      </c>
      <c r="R202">
        <v>10</v>
      </c>
      <c r="S202">
        <v>62</v>
      </c>
      <c r="T202">
        <v>86762</v>
      </c>
      <c r="U202">
        <v>6200</v>
      </c>
      <c r="V202">
        <v>5.2</v>
      </c>
      <c r="W202" t="s">
        <v>31</v>
      </c>
    </row>
    <row r="203" spans="1:23" x14ac:dyDescent="0.3">
      <c r="A203" t="s">
        <v>478</v>
      </c>
      <c r="B203" t="s">
        <v>1958</v>
      </c>
      <c r="C203">
        <v>35</v>
      </c>
      <c r="D203" t="s">
        <v>33</v>
      </c>
      <c r="E203" t="s">
        <v>23</v>
      </c>
      <c r="F203" t="s">
        <v>137</v>
      </c>
      <c r="G203" t="s">
        <v>63</v>
      </c>
      <c r="H203" t="s">
        <v>225</v>
      </c>
      <c r="I203" t="s">
        <v>65</v>
      </c>
      <c r="J203" t="s">
        <v>479</v>
      </c>
      <c r="K203">
        <v>2023</v>
      </c>
      <c r="L203">
        <v>1</v>
      </c>
      <c r="M203">
        <v>10</v>
      </c>
      <c r="N203" t="s">
        <v>29</v>
      </c>
      <c r="O203">
        <v>3</v>
      </c>
      <c r="P203">
        <v>2</v>
      </c>
      <c r="Q203" t="s">
        <v>31</v>
      </c>
      <c r="R203">
        <v>4</v>
      </c>
      <c r="S203">
        <v>43</v>
      </c>
      <c r="T203">
        <v>51425</v>
      </c>
      <c r="U203">
        <v>5100</v>
      </c>
      <c r="V203">
        <v>6.1</v>
      </c>
      <c r="W203" t="s">
        <v>31</v>
      </c>
    </row>
    <row r="204" spans="1:23" x14ac:dyDescent="0.3">
      <c r="A204" t="s">
        <v>480</v>
      </c>
      <c r="B204" t="s">
        <v>1959</v>
      </c>
      <c r="C204">
        <v>45</v>
      </c>
      <c r="D204" t="s">
        <v>33</v>
      </c>
      <c r="E204" t="s">
        <v>34</v>
      </c>
      <c r="F204" t="s">
        <v>75</v>
      </c>
      <c r="G204" t="s">
        <v>52</v>
      </c>
      <c r="H204" t="s">
        <v>320</v>
      </c>
      <c r="I204" t="s">
        <v>27</v>
      </c>
      <c r="J204" t="s">
        <v>481</v>
      </c>
      <c r="K204">
        <v>2024</v>
      </c>
      <c r="L204">
        <v>0</v>
      </c>
      <c r="M204">
        <v>20</v>
      </c>
      <c r="N204" t="s">
        <v>85</v>
      </c>
      <c r="O204">
        <v>5</v>
      </c>
      <c r="P204">
        <v>5</v>
      </c>
      <c r="Q204" t="s">
        <v>31</v>
      </c>
      <c r="R204">
        <v>21</v>
      </c>
      <c r="S204">
        <v>25</v>
      </c>
      <c r="T204">
        <v>82545</v>
      </c>
      <c r="U204">
        <v>19600</v>
      </c>
      <c r="V204">
        <v>13.9</v>
      </c>
      <c r="W204" t="s">
        <v>31</v>
      </c>
    </row>
    <row r="205" spans="1:23" x14ac:dyDescent="0.3">
      <c r="A205" t="s">
        <v>482</v>
      </c>
      <c r="B205" t="s">
        <v>1888</v>
      </c>
      <c r="C205">
        <v>29</v>
      </c>
      <c r="D205" t="s">
        <v>41</v>
      </c>
      <c r="E205" t="s">
        <v>34</v>
      </c>
      <c r="F205" t="s">
        <v>137</v>
      </c>
      <c r="G205" t="s">
        <v>36</v>
      </c>
      <c r="H205" t="s">
        <v>37</v>
      </c>
      <c r="I205" t="s">
        <v>27</v>
      </c>
      <c r="J205" t="s">
        <v>483</v>
      </c>
      <c r="K205">
        <v>2022</v>
      </c>
      <c r="L205">
        <v>2</v>
      </c>
      <c r="M205">
        <v>5</v>
      </c>
      <c r="N205" t="s">
        <v>29</v>
      </c>
      <c r="O205">
        <v>4</v>
      </c>
      <c r="P205">
        <v>4</v>
      </c>
      <c r="Q205" t="s">
        <v>30</v>
      </c>
      <c r="R205">
        <v>9</v>
      </c>
      <c r="S205">
        <v>56</v>
      </c>
      <c r="T205">
        <v>81525</v>
      </c>
      <c r="U205">
        <v>10600</v>
      </c>
      <c r="V205">
        <v>5.2</v>
      </c>
      <c r="W205" t="s">
        <v>31</v>
      </c>
    </row>
    <row r="206" spans="1:23" x14ac:dyDescent="0.3">
      <c r="A206" t="s">
        <v>484</v>
      </c>
      <c r="B206" t="s">
        <v>1883</v>
      </c>
      <c r="C206">
        <v>46</v>
      </c>
      <c r="D206" t="s">
        <v>41</v>
      </c>
      <c r="E206" t="s">
        <v>71</v>
      </c>
      <c r="F206" t="s">
        <v>51</v>
      </c>
      <c r="G206" t="s">
        <v>82</v>
      </c>
      <c r="H206" t="s">
        <v>138</v>
      </c>
      <c r="I206" t="s">
        <v>27</v>
      </c>
      <c r="J206" t="s">
        <v>485</v>
      </c>
      <c r="K206">
        <v>2022</v>
      </c>
      <c r="L206">
        <v>2</v>
      </c>
      <c r="M206">
        <v>20</v>
      </c>
      <c r="N206" t="s">
        <v>29</v>
      </c>
      <c r="O206">
        <v>5</v>
      </c>
      <c r="P206">
        <v>4</v>
      </c>
      <c r="Q206" t="s">
        <v>31</v>
      </c>
      <c r="R206">
        <v>22</v>
      </c>
      <c r="S206">
        <v>47</v>
      </c>
      <c r="T206">
        <v>85131</v>
      </c>
      <c r="U206">
        <v>9100</v>
      </c>
      <c r="V206">
        <v>11.2</v>
      </c>
      <c r="W206" t="s">
        <v>31</v>
      </c>
    </row>
    <row r="207" spans="1:23" x14ac:dyDescent="0.3">
      <c r="A207" t="s">
        <v>486</v>
      </c>
      <c r="B207" t="s">
        <v>1960</v>
      </c>
      <c r="C207">
        <v>30</v>
      </c>
      <c r="D207" t="s">
        <v>33</v>
      </c>
      <c r="E207" t="s">
        <v>34</v>
      </c>
      <c r="F207" t="s">
        <v>35</v>
      </c>
      <c r="G207" t="s">
        <v>43</v>
      </c>
      <c r="H207" t="s">
        <v>44</v>
      </c>
      <c r="I207" t="s">
        <v>65</v>
      </c>
      <c r="J207" t="s">
        <v>487</v>
      </c>
      <c r="K207">
        <v>2022</v>
      </c>
      <c r="L207">
        <v>2</v>
      </c>
      <c r="M207">
        <v>8</v>
      </c>
      <c r="N207" t="s">
        <v>39</v>
      </c>
      <c r="O207">
        <v>4</v>
      </c>
      <c r="P207">
        <v>5</v>
      </c>
      <c r="Q207" t="s">
        <v>30</v>
      </c>
      <c r="R207">
        <v>15</v>
      </c>
      <c r="S207">
        <v>41</v>
      </c>
      <c r="T207">
        <v>71967</v>
      </c>
      <c r="U207">
        <v>2500</v>
      </c>
      <c r="V207">
        <v>5.7</v>
      </c>
      <c r="W207" t="s">
        <v>31</v>
      </c>
    </row>
    <row r="208" spans="1:23" x14ac:dyDescent="0.3">
      <c r="A208" t="s">
        <v>488</v>
      </c>
      <c r="B208" t="s">
        <v>1855</v>
      </c>
      <c r="C208">
        <v>40</v>
      </c>
      <c r="D208" t="s">
        <v>33</v>
      </c>
      <c r="E208" t="s">
        <v>34</v>
      </c>
      <c r="F208" t="s">
        <v>137</v>
      </c>
      <c r="G208" t="s">
        <v>43</v>
      </c>
      <c r="H208" t="s">
        <v>48</v>
      </c>
      <c r="I208" t="s">
        <v>79</v>
      </c>
      <c r="J208" t="s">
        <v>489</v>
      </c>
      <c r="K208">
        <v>2021</v>
      </c>
      <c r="L208">
        <v>3</v>
      </c>
      <c r="M208">
        <v>13</v>
      </c>
      <c r="N208" t="s">
        <v>29</v>
      </c>
      <c r="O208">
        <v>2</v>
      </c>
      <c r="P208">
        <v>5</v>
      </c>
      <c r="Q208" t="s">
        <v>31</v>
      </c>
      <c r="R208">
        <v>17</v>
      </c>
      <c r="S208">
        <v>50</v>
      </c>
      <c r="T208">
        <v>138843</v>
      </c>
      <c r="U208">
        <v>18000</v>
      </c>
      <c r="V208">
        <v>3.5</v>
      </c>
      <c r="W208" t="s">
        <v>31</v>
      </c>
    </row>
    <row r="209" spans="1:23" x14ac:dyDescent="0.3">
      <c r="A209" t="s">
        <v>490</v>
      </c>
      <c r="B209" t="s">
        <v>1961</v>
      </c>
      <c r="C209">
        <v>43</v>
      </c>
      <c r="D209" t="s">
        <v>33</v>
      </c>
      <c r="E209" t="s">
        <v>56</v>
      </c>
      <c r="F209" t="s">
        <v>35</v>
      </c>
      <c r="G209" t="s">
        <v>36</v>
      </c>
      <c r="H209" t="s">
        <v>76</v>
      </c>
      <c r="I209" t="s">
        <v>27</v>
      </c>
      <c r="J209" t="s">
        <v>77</v>
      </c>
      <c r="K209">
        <v>2021</v>
      </c>
      <c r="L209">
        <v>3</v>
      </c>
      <c r="M209">
        <v>15</v>
      </c>
      <c r="N209" t="s">
        <v>29</v>
      </c>
      <c r="O209">
        <v>4</v>
      </c>
      <c r="P209">
        <v>1</v>
      </c>
      <c r="Q209" t="s">
        <v>31</v>
      </c>
      <c r="R209">
        <v>23</v>
      </c>
      <c r="S209">
        <v>64</v>
      </c>
      <c r="T209">
        <v>63737</v>
      </c>
      <c r="U209">
        <v>7400</v>
      </c>
      <c r="V209">
        <v>10.4</v>
      </c>
      <c r="W209" t="s">
        <v>30</v>
      </c>
    </row>
    <row r="210" spans="1:23" x14ac:dyDescent="0.3">
      <c r="A210" t="s">
        <v>491</v>
      </c>
      <c r="B210" t="s">
        <v>1864</v>
      </c>
      <c r="C210">
        <v>40</v>
      </c>
      <c r="D210" t="s">
        <v>41</v>
      </c>
      <c r="E210" t="s">
        <v>34</v>
      </c>
      <c r="F210" t="s">
        <v>35</v>
      </c>
      <c r="G210" t="s">
        <v>43</v>
      </c>
      <c r="H210" t="s">
        <v>72</v>
      </c>
      <c r="I210" t="s">
        <v>27</v>
      </c>
      <c r="J210" t="s">
        <v>492</v>
      </c>
      <c r="K210">
        <v>2022</v>
      </c>
      <c r="L210">
        <v>2</v>
      </c>
      <c r="M210">
        <v>11</v>
      </c>
      <c r="N210" t="s">
        <v>29</v>
      </c>
      <c r="O210">
        <v>1</v>
      </c>
      <c r="P210">
        <v>1</v>
      </c>
      <c r="Q210" t="s">
        <v>30</v>
      </c>
      <c r="R210">
        <v>3</v>
      </c>
      <c r="S210">
        <v>57</v>
      </c>
      <c r="T210">
        <v>129464</v>
      </c>
      <c r="U210">
        <v>16900</v>
      </c>
      <c r="V210">
        <v>5.4</v>
      </c>
      <c r="W210" t="s">
        <v>31</v>
      </c>
    </row>
    <row r="211" spans="1:23" x14ac:dyDescent="0.3">
      <c r="A211" t="s">
        <v>493</v>
      </c>
      <c r="B211" t="s">
        <v>1962</v>
      </c>
      <c r="C211">
        <v>35</v>
      </c>
      <c r="D211" t="s">
        <v>41</v>
      </c>
      <c r="E211" t="s">
        <v>61</v>
      </c>
      <c r="F211" t="s">
        <v>137</v>
      </c>
      <c r="G211" t="s">
        <v>117</v>
      </c>
      <c r="H211" t="s">
        <v>184</v>
      </c>
      <c r="I211" t="s">
        <v>27</v>
      </c>
      <c r="J211" t="s">
        <v>494</v>
      </c>
      <c r="K211">
        <v>2022</v>
      </c>
      <c r="L211">
        <v>2</v>
      </c>
      <c r="M211">
        <v>13</v>
      </c>
      <c r="N211" t="s">
        <v>29</v>
      </c>
      <c r="O211">
        <v>3</v>
      </c>
      <c r="P211">
        <v>4</v>
      </c>
      <c r="Q211" t="s">
        <v>30</v>
      </c>
      <c r="R211">
        <v>9</v>
      </c>
      <c r="S211">
        <v>80</v>
      </c>
      <c r="T211">
        <v>76967</v>
      </c>
      <c r="U211">
        <v>9800</v>
      </c>
      <c r="V211">
        <v>4.8</v>
      </c>
      <c r="W211" t="s">
        <v>31</v>
      </c>
    </row>
    <row r="212" spans="1:23" x14ac:dyDescent="0.3">
      <c r="A212" t="s">
        <v>495</v>
      </c>
      <c r="B212" t="s">
        <v>1963</v>
      </c>
      <c r="C212">
        <v>31</v>
      </c>
      <c r="D212" t="s">
        <v>41</v>
      </c>
      <c r="E212" t="s">
        <v>71</v>
      </c>
      <c r="F212" t="s">
        <v>51</v>
      </c>
      <c r="G212" t="s">
        <v>43</v>
      </c>
      <c r="H212" t="s">
        <v>44</v>
      </c>
      <c r="I212" t="s">
        <v>27</v>
      </c>
      <c r="J212" t="s">
        <v>496</v>
      </c>
      <c r="K212">
        <v>2021</v>
      </c>
      <c r="L212">
        <v>3</v>
      </c>
      <c r="M212">
        <v>9</v>
      </c>
      <c r="N212" t="s">
        <v>29</v>
      </c>
      <c r="O212">
        <v>4</v>
      </c>
      <c r="P212">
        <v>1</v>
      </c>
      <c r="Q212" t="s">
        <v>31</v>
      </c>
      <c r="R212">
        <v>19</v>
      </c>
      <c r="S212">
        <v>76</v>
      </c>
      <c r="T212">
        <v>135358</v>
      </c>
      <c r="U212">
        <v>13000</v>
      </c>
      <c r="V212">
        <v>13.6</v>
      </c>
      <c r="W212" t="s">
        <v>31</v>
      </c>
    </row>
    <row r="213" spans="1:23" x14ac:dyDescent="0.3">
      <c r="A213" t="s">
        <v>497</v>
      </c>
      <c r="B213" t="s">
        <v>1964</v>
      </c>
      <c r="C213">
        <v>27</v>
      </c>
      <c r="D213" t="s">
        <v>41</v>
      </c>
      <c r="E213" t="s">
        <v>71</v>
      </c>
      <c r="F213" t="s">
        <v>57</v>
      </c>
      <c r="G213" t="s">
        <v>52</v>
      </c>
      <c r="H213" t="s">
        <v>132</v>
      </c>
      <c r="I213" t="s">
        <v>27</v>
      </c>
      <c r="J213" t="s">
        <v>498</v>
      </c>
      <c r="K213">
        <v>2022</v>
      </c>
      <c r="L213">
        <v>2</v>
      </c>
      <c r="M213">
        <v>5</v>
      </c>
      <c r="N213" t="s">
        <v>85</v>
      </c>
      <c r="O213">
        <v>4</v>
      </c>
      <c r="P213">
        <v>2</v>
      </c>
      <c r="Q213" t="s">
        <v>31</v>
      </c>
      <c r="R213">
        <v>5</v>
      </c>
      <c r="S213">
        <v>36</v>
      </c>
      <c r="T213">
        <v>47406</v>
      </c>
      <c r="U213">
        <v>7700</v>
      </c>
      <c r="V213">
        <v>9.9</v>
      </c>
      <c r="W213" t="s">
        <v>31</v>
      </c>
    </row>
    <row r="214" spans="1:23" x14ac:dyDescent="0.3">
      <c r="A214" t="s">
        <v>499</v>
      </c>
      <c r="B214" t="s">
        <v>1965</v>
      </c>
      <c r="C214">
        <v>37</v>
      </c>
      <c r="D214" t="s">
        <v>22</v>
      </c>
      <c r="E214" t="s">
        <v>34</v>
      </c>
      <c r="F214" t="s">
        <v>57</v>
      </c>
      <c r="G214" t="s">
        <v>82</v>
      </c>
      <c r="H214" t="s">
        <v>83</v>
      </c>
      <c r="I214" t="s">
        <v>27</v>
      </c>
      <c r="J214" t="s">
        <v>221</v>
      </c>
      <c r="K214">
        <v>2021</v>
      </c>
      <c r="L214">
        <v>3</v>
      </c>
      <c r="M214">
        <v>10</v>
      </c>
      <c r="N214" t="s">
        <v>98</v>
      </c>
      <c r="O214">
        <v>3</v>
      </c>
      <c r="P214">
        <v>3</v>
      </c>
      <c r="Q214" t="s">
        <v>31</v>
      </c>
      <c r="R214">
        <v>16</v>
      </c>
      <c r="S214">
        <v>52</v>
      </c>
      <c r="T214">
        <v>69834</v>
      </c>
      <c r="U214">
        <v>5400</v>
      </c>
      <c r="V214">
        <v>13.1</v>
      </c>
      <c r="W214" t="s">
        <v>30</v>
      </c>
    </row>
    <row r="215" spans="1:23" x14ac:dyDescent="0.3">
      <c r="A215" t="s">
        <v>500</v>
      </c>
      <c r="B215" t="s">
        <v>1966</v>
      </c>
      <c r="C215">
        <v>40</v>
      </c>
      <c r="D215" t="s">
        <v>33</v>
      </c>
      <c r="E215" t="s">
        <v>71</v>
      </c>
      <c r="F215" t="s">
        <v>35</v>
      </c>
      <c r="G215" t="s">
        <v>43</v>
      </c>
      <c r="H215" t="s">
        <v>44</v>
      </c>
      <c r="I215" t="s">
        <v>27</v>
      </c>
      <c r="J215" t="s">
        <v>489</v>
      </c>
      <c r="K215">
        <v>2021</v>
      </c>
      <c r="L215">
        <v>3</v>
      </c>
      <c r="M215">
        <v>17</v>
      </c>
      <c r="N215" t="s">
        <v>29</v>
      </c>
      <c r="O215">
        <v>4</v>
      </c>
      <c r="P215">
        <v>5</v>
      </c>
      <c r="Q215" t="s">
        <v>31</v>
      </c>
      <c r="R215">
        <v>23</v>
      </c>
      <c r="S215">
        <v>80</v>
      </c>
      <c r="T215">
        <v>107642</v>
      </c>
      <c r="U215">
        <v>14700</v>
      </c>
      <c r="V215">
        <v>6.1</v>
      </c>
      <c r="W215" t="s">
        <v>31</v>
      </c>
    </row>
    <row r="216" spans="1:23" x14ac:dyDescent="0.3">
      <c r="A216" t="s">
        <v>501</v>
      </c>
      <c r="B216" t="s">
        <v>1930</v>
      </c>
      <c r="C216">
        <v>29</v>
      </c>
      <c r="D216" t="s">
        <v>41</v>
      </c>
      <c r="E216" t="s">
        <v>34</v>
      </c>
      <c r="F216" t="s">
        <v>153</v>
      </c>
      <c r="G216" t="s">
        <v>117</v>
      </c>
      <c r="H216" t="s">
        <v>118</v>
      </c>
      <c r="I216" t="s">
        <v>27</v>
      </c>
      <c r="J216" t="s">
        <v>502</v>
      </c>
      <c r="K216">
        <v>2022</v>
      </c>
      <c r="L216">
        <v>2</v>
      </c>
      <c r="M216">
        <v>7</v>
      </c>
      <c r="N216" t="s">
        <v>29</v>
      </c>
      <c r="O216">
        <v>3</v>
      </c>
      <c r="P216">
        <v>5</v>
      </c>
      <c r="Q216" t="s">
        <v>31</v>
      </c>
      <c r="R216">
        <v>20</v>
      </c>
      <c r="S216">
        <v>27</v>
      </c>
      <c r="T216">
        <v>85466</v>
      </c>
      <c r="U216">
        <v>8700</v>
      </c>
      <c r="V216">
        <v>13.2</v>
      </c>
      <c r="W216" t="s">
        <v>31</v>
      </c>
    </row>
    <row r="217" spans="1:23" x14ac:dyDescent="0.3">
      <c r="A217" t="s">
        <v>503</v>
      </c>
      <c r="B217" t="s">
        <v>1967</v>
      </c>
      <c r="C217">
        <v>40</v>
      </c>
      <c r="D217" t="s">
        <v>33</v>
      </c>
      <c r="E217" t="s">
        <v>71</v>
      </c>
      <c r="F217" t="s">
        <v>35</v>
      </c>
      <c r="G217" t="s">
        <v>117</v>
      </c>
      <c r="H217" t="s">
        <v>298</v>
      </c>
      <c r="I217" t="s">
        <v>27</v>
      </c>
      <c r="J217" t="s">
        <v>504</v>
      </c>
      <c r="K217">
        <v>2023</v>
      </c>
      <c r="L217">
        <v>1</v>
      </c>
      <c r="M217">
        <v>10</v>
      </c>
      <c r="N217" t="s">
        <v>85</v>
      </c>
      <c r="O217">
        <v>3</v>
      </c>
      <c r="P217">
        <v>4</v>
      </c>
      <c r="Q217" t="s">
        <v>31</v>
      </c>
      <c r="R217">
        <v>15</v>
      </c>
      <c r="S217">
        <v>4</v>
      </c>
      <c r="T217">
        <v>55401</v>
      </c>
      <c r="U217">
        <v>10300</v>
      </c>
      <c r="V217">
        <v>7.8</v>
      </c>
      <c r="W217" t="s">
        <v>31</v>
      </c>
    </row>
    <row r="218" spans="1:23" x14ac:dyDescent="0.3">
      <c r="A218" t="s">
        <v>505</v>
      </c>
      <c r="B218" t="s">
        <v>1968</v>
      </c>
      <c r="C218">
        <v>36</v>
      </c>
      <c r="D218" t="s">
        <v>41</v>
      </c>
      <c r="E218" t="s">
        <v>61</v>
      </c>
      <c r="F218" t="s">
        <v>24</v>
      </c>
      <c r="G218" t="s">
        <v>100</v>
      </c>
      <c r="H218" t="s">
        <v>145</v>
      </c>
      <c r="I218" t="s">
        <v>27</v>
      </c>
      <c r="J218" t="s">
        <v>506</v>
      </c>
      <c r="K218">
        <v>2023</v>
      </c>
      <c r="L218">
        <v>1</v>
      </c>
      <c r="M218">
        <v>14</v>
      </c>
      <c r="N218" t="s">
        <v>29</v>
      </c>
      <c r="O218">
        <v>3</v>
      </c>
      <c r="P218">
        <v>1</v>
      </c>
      <c r="Q218" t="s">
        <v>31</v>
      </c>
      <c r="R218">
        <v>4</v>
      </c>
      <c r="S218">
        <v>35</v>
      </c>
      <c r="T218">
        <v>59617</v>
      </c>
      <c r="U218">
        <v>7700</v>
      </c>
      <c r="V218">
        <v>9.6999999999999993</v>
      </c>
      <c r="W218" t="s">
        <v>30</v>
      </c>
    </row>
    <row r="219" spans="1:23" x14ac:dyDescent="0.3">
      <c r="A219" t="s">
        <v>507</v>
      </c>
      <c r="B219" t="s">
        <v>1969</v>
      </c>
      <c r="C219">
        <v>37</v>
      </c>
      <c r="D219" t="s">
        <v>41</v>
      </c>
      <c r="E219" t="s">
        <v>71</v>
      </c>
      <c r="F219" t="s">
        <v>51</v>
      </c>
      <c r="G219" t="s">
        <v>25</v>
      </c>
      <c r="H219" t="s">
        <v>26</v>
      </c>
      <c r="I219" t="s">
        <v>79</v>
      </c>
      <c r="J219" t="s">
        <v>434</v>
      </c>
      <c r="K219">
        <v>2022</v>
      </c>
      <c r="L219">
        <v>2</v>
      </c>
      <c r="M219">
        <v>13</v>
      </c>
      <c r="N219" t="s">
        <v>98</v>
      </c>
      <c r="O219">
        <v>3</v>
      </c>
      <c r="P219">
        <v>4</v>
      </c>
      <c r="Q219" t="s">
        <v>31</v>
      </c>
      <c r="R219">
        <v>9</v>
      </c>
      <c r="S219">
        <v>27</v>
      </c>
      <c r="T219">
        <v>106271</v>
      </c>
      <c r="U219">
        <v>8000</v>
      </c>
      <c r="V219">
        <v>6.8</v>
      </c>
      <c r="W219" t="s">
        <v>30</v>
      </c>
    </row>
    <row r="220" spans="1:23" x14ac:dyDescent="0.3">
      <c r="A220" t="s">
        <v>508</v>
      </c>
      <c r="B220" t="s">
        <v>1970</v>
      </c>
      <c r="C220">
        <v>45</v>
      </c>
      <c r="D220" t="s">
        <v>41</v>
      </c>
      <c r="E220" t="s">
        <v>34</v>
      </c>
      <c r="F220" t="s">
        <v>24</v>
      </c>
      <c r="G220" t="s">
        <v>36</v>
      </c>
      <c r="H220" t="s">
        <v>68</v>
      </c>
      <c r="I220" t="s">
        <v>27</v>
      </c>
      <c r="J220" t="s">
        <v>509</v>
      </c>
      <c r="K220">
        <v>2021</v>
      </c>
      <c r="L220">
        <v>3</v>
      </c>
      <c r="M220">
        <v>15</v>
      </c>
      <c r="N220" t="s">
        <v>39</v>
      </c>
      <c r="O220">
        <v>1</v>
      </c>
      <c r="P220">
        <v>5</v>
      </c>
      <c r="Q220" t="s">
        <v>31</v>
      </c>
      <c r="R220">
        <v>21</v>
      </c>
      <c r="S220">
        <v>16</v>
      </c>
      <c r="T220">
        <v>76631</v>
      </c>
      <c r="U220">
        <v>2000</v>
      </c>
      <c r="V220">
        <v>7.1</v>
      </c>
      <c r="W220" t="s">
        <v>31</v>
      </c>
    </row>
    <row r="221" spans="1:23" x14ac:dyDescent="0.3">
      <c r="A221" t="s">
        <v>510</v>
      </c>
      <c r="B221" t="s">
        <v>1971</v>
      </c>
      <c r="C221">
        <v>25</v>
      </c>
      <c r="D221" t="s">
        <v>33</v>
      </c>
      <c r="E221" t="s">
        <v>34</v>
      </c>
      <c r="F221" t="s">
        <v>75</v>
      </c>
      <c r="G221" t="s">
        <v>43</v>
      </c>
      <c r="H221" t="s">
        <v>44</v>
      </c>
      <c r="I221" t="s">
        <v>27</v>
      </c>
      <c r="J221" t="s">
        <v>180</v>
      </c>
      <c r="K221">
        <v>2021</v>
      </c>
      <c r="L221">
        <v>3</v>
      </c>
      <c r="M221">
        <v>2</v>
      </c>
      <c r="N221" t="s">
        <v>85</v>
      </c>
      <c r="O221">
        <v>2</v>
      </c>
      <c r="P221">
        <v>3</v>
      </c>
      <c r="Q221" t="s">
        <v>31</v>
      </c>
      <c r="R221">
        <v>8</v>
      </c>
      <c r="S221">
        <v>68</v>
      </c>
      <c r="T221">
        <v>76047</v>
      </c>
      <c r="U221">
        <v>16800</v>
      </c>
      <c r="V221">
        <v>11.9</v>
      </c>
      <c r="W221" t="s">
        <v>30</v>
      </c>
    </row>
    <row r="222" spans="1:23" x14ac:dyDescent="0.3">
      <c r="A222" t="s">
        <v>511</v>
      </c>
      <c r="B222" t="s">
        <v>1932</v>
      </c>
      <c r="C222">
        <v>32</v>
      </c>
      <c r="D222" t="s">
        <v>33</v>
      </c>
      <c r="E222" t="s">
        <v>34</v>
      </c>
      <c r="F222" t="s">
        <v>47</v>
      </c>
      <c r="G222" t="s">
        <v>117</v>
      </c>
      <c r="H222" t="s">
        <v>184</v>
      </c>
      <c r="I222" t="s">
        <v>27</v>
      </c>
      <c r="J222" t="s">
        <v>512</v>
      </c>
      <c r="K222">
        <v>2023</v>
      </c>
      <c r="L222">
        <v>1</v>
      </c>
      <c r="M222">
        <v>9</v>
      </c>
      <c r="N222" t="s">
        <v>29</v>
      </c>
      <c r="O222">
        <v>2</v>
      </c>
      <c r="P222">
        <v>1</v>
      </c>
      <c r="Q222" t="s">
        <v>30</v>
      </c>
      <c r="R222">
        <v>9</v>
      </c>
      <c r="S222">
        <v>78</v>
      </c>
      <c r="T222">
        <v>95825</v>
      </c>
      <c r="U222">
        <v>9700</v>
      </c>
      <c r="V222">
        <v>9.5</v>
      </c>
      <c r="W222" t="s">
        <v>31</v>
      </c>
    </row>
    <row r="223" spans="1:23" x14ac:dyDescent="0.3">
      <c r="A223" t="s">
        <v>513</v>
      </c>
      <c r="B223" t="s">
        <v>1972</v>
      </c>
      <c r="C223">
        <v>25</v>
      </c>
      <c r="D223" t="s">
        <v>33</v>
      </c>
      <c r="E223" t="s">
        <v>34</v>
      </c>
      <c r="F223" t="s">
        <v>51</v>
      </c>
      <c r="G223" t="s">
        <v>100</v>
      </c>
      <c r="H223" t="s">
        <v>101</v>
      </c>
      <c r="I223" t="s">
        <v>27</v>
      </c>
      <c r="J223" t="s">
        <v>514</v>
      </c>
      <c r="K223">
        <v>2021</v>
      </c>
      <c r="L223">
        <v>3</v>
      </c>
      <c r="M223">
        <v>2</v>
      </c>
      <c r="N223" t="s">
        <v>29</v>
      </c>
      <c r="O223">
        <v>3</v>
      </c>
      <c r="P223">
        <v>3</v>
      </c>
      <c r="Q223" t="s">
        <v>31</v>
      </c>
      <c r="R223">
        <v>6</v>
      </c>
      <c r="S223">
        <v>68</v>
      </c>
      <c r="T223">
        <v>45643</v>
      </c>
      <c r="U223">
        <v>4800</v>
      </c>
      <c r="V223">
        <v>10.199999999999999</v>
      </c>
      <c r="W223" t="s">
        <v>31</v>
      </c>
    </row>
    <row r="224" spans="1:23" x14ac:dyDescent="0.3">
      <c r="A224" t="s">
        <v>515</v>
      </c>
      <c r="B224" t="s">
        <v>1973</v>
      </c>
      <c r="C224">
        <v>38</v>
      </c>
      <c r="D224" t="s">
        <v>22</v>
      </c>
      <c r="E224" t="s">
        <v>71</v>
      </c>
      <c r="F224" t="s">
        <v>62</v>
      </c>
      <c r="G224" t="s">
        <v>82</v>
      </c>
      <c r="H224" t="s">
        <v>286</v>
      </c>
      <c r="I224" t="s">
        <v>27</v>
      </c>
      <c r="J224" t="s">
        <v>516</v>
      </c>
      <c r="K224">
        <v>2022</v>
      </c>
      <c r="L224">
        <v>2</v>
      </c>
      <c r="M224">
        <v>15</v>
      </c>
      <c r="N224" t="s">
        <v>29</v>
      </c>
      <c r="O224">
        <v>3</v>
      </c>
      <c r="P224">
        <v>4</v>
      </c>
      <c r="Q224" t="s">
        <v>30</v>
      </c>
      <c r="R224">
        <v>5</v>
      </c>
      <c r="S224">
        <v>42</v>
      </c>
      <c r="T224">
        <v>89857</v>
      </c>
      <c r="U224">
        <v>11900</v>
      </c>
      <c r="V224">
        <v>8.6</v>
      </c>
      <c r="W224" t="s">
        <v>31</v>
      </c>
    </row>
    <row r="225" spans="1:23" x14ac:dyDescent="0.3">
      <c r="A225" t="s">
        <v>517</v>
      </c>
      <c r="B225" t="s">
        <v>1974</v>
      </c>
      <c r="C225">
        <v>45</v>
      </c>
      <c r="D225" t="s">
        <v>41</v>
      </c>
      <c r="E225" t="s">
        <v>61</v>
      </c>
      <c r="F225" t="s">
        <v>57</v>
      </c>
      <c r="G225" t="s">
        <v>52</v>
      </c>
      <c r="H225" t="s">
        <v>208</v>
      </c>
      <c r="I225" t="s">
        <v>27</v>
      </c>
      <c r="J225" t="s">
        <v>518</v>
      </c>
      <c r="K225">
        <v>2024</v>
      </c>
      <c r="L225">
        <v>0</v>
      </c>
      <c r="M225">
        <v>16</v>
      </c>
      <c r="N225" t="s">
        <v>98</v>
      </c>
      <c r="O225">
        <v>1</v>
      </c>
      <c r="P225">
        <v>3</v>
      </c>
      <c r="Q225" t="s">
        <v>31</v>
      </c>
      <c r="R225">
        <v>17</v>
      </c>
      <c r="S225">
        <v>59</v>
      </c>
      <c r="T225">
        <v>63498</v>
      </c>
      <c r="U225">
        <v>4600</v>
      </c>
      <c r="V225">
        <v>4.5</v>
      </c>
      <c r="W225" t="s">
        <v>31</v>
      </c>
    </row>
    <row r="226" spans="1:23" x14ac:dyDescent="0.3">
      <c r="A226" t="s">
        <v>519</v>
      </c>
      <c r="B226" t="s">
        <v>1975</v>
      </c>
      <c r="C226">
        <v>44</v>
      </c>
      <c r="D226" t="s">
        <v>33</v>
      </c>
      <c r="E226" t="s">
        <v>34</v>
      </c>
      <c r="F226" t="s">
        <v>42</v>
      </c>
      <c r="G226" t="s">
        <v>36</v>
      </c>
      <c r="H226" t="s">
        <v>89</v>
      </c>
      <c r="I226" t="s">
        <v>27</v>
      </c>
      <c r="J226" t="s">
        <v>520</v>
      </c>
      <c r="K226">
        <v>2022</v>
      </c>
      <c r="L226">
        <v>2</v>
      </c>
      <c r="M226">
        <v>16</v>
      </c>
      <c r="N226" t="s">
        <v>98</v>
      </c>
      <c r="O226">
        <v>2</v>
      </c>
      <c r="P226">
        <v>1</v>
      </c>
      <c r="Q226" t="s">
        <v>31</v>
      </c>
      <c r="R226">
        <v>23</v>
      </c>
      <c r="S226">
        <v>73</v>
      </c>
      <c r="T226">
        <v>58647</v>
      </c>
      <c r="U226">
        <v>4300</v>
      </c>
      <c r="V226">
        <v>12.4</v>
      </c>
      <c r="W226" t="s">
        <v>31</v>
      </c>
    </row>
    <row r="227" spans="1:23" x14ac:dyDescent="0.3">
      <c r="A227" t="s">
        <v>521</v>
      </c>
      <c r="B227" t="s">
        <v>1976</v>
      </c>
      <c r="C227">
        <v>39</v>
      </c>
      <c r="D227" t="s">
        <v>41</v>
      </c>
      <c r="E227" t="s">
        <v>34</v>
      </c>
      <c r="F227" t="s">
        <v>51</v>
      </c>
      <c r="G227" t="s">
        <v>100</v>
      </c>
      <c r="H227" t="s">
        <v>129</v>
      </c>
      <c r="I227" t="s">
        <v>27</v>
      </c>
      <c r="J227" t="s">
        <v>522</v>
      </c>
      <c r="K227">
        <v>2023</v>
      </c>
      <c r="L227">
        <v>1</v>
      </c>
      <c r="M227">
        <v>15</v>
      </c>
      <c r="N227" t="s">
        <v>85</v>
      </c>
      <c r="O227">
        <v>1</v>
      </c>
      <c r="P227">
        <v>1</v>
      </c>
      <c r="Q227" t="s">
        <v>31</v>
      </c>
      <c r="R227">
        <v>6</v>
      </c>
      <c r="S227">
        <v>17</v>
      </c>
      <c r="T227">
        <v>66594</v>
      </c>
      <c r="U227">
        <v>11200</v>
      </c>
      <c r="V227">
        <v>12.8</v>
      </c>
      <c r="W227" t="s">
        <v>31</v>
      </c>
    </row>
    <row r="228" spans="1:23" x14ac:dyDescent="0.3">
      <c r="A228" t="s">
        <v>523</v>
      </c>
      <c r="B228" t="s">
        <v>1977</v>
      </c>
      <c r="C228">
        <v>42</v>
      </c>
      <c r="D228" t="s">
        <v>33</v>
      </c>
      <c r="E228" t="s">
        <v>34</v>
      </c>
      <c r="F228" t="s">
        <v>153</v>
      </c>
      <c r="G228" t="s">
        <v>82</v>
      </c>
      <c r="H228" t="s">
        <v>286</v>
      </c>
      <c r="I228" t="s">
        <v>27</v>
      </c>
      <c r="J228" t="s">
        <v>284</v>
      </c>
      <c r="K228">
        <v>2024</v>
      </c>
      <c r="L228">
        <v>0</v>
      </c>
      <c r="M228">
        <v>13</v>
      </c>
      <c r="N228" t="s">
        <v>98</v>
      </c>
      <c r="O228">
        <v>3</v>
      </c>
      <c r="P228">
        <v>1</v>
      </c>
      <c r="Q228" t="s">
        <v>31</v>
      </c>
      <c r="R228">
        <v>18</v>
      </c>
      <c r="S228">
        <v>1</v>
      </c>
      <c r="T228">
        <v>89663</v>
      </c>
      <c r="U228">
        <v>5800</v>
      </c>
      <c r="V228">
        <v>12.5</v>
      </c>
      <c r="W228" t="s">
        <v>31</v>
      </c>
    </row>
    <row r="229" spans="1:23" x14ac:dyDescent="0.3">
      <c r="A229" t="s">
        <v>524</v>
      </c>
      <c r="B229" t="s">
        <v>1978</v>
      </c>
      <c r="C229">
        <v>24</v>
      </c>
      <c r="D229" t="s">
        <v>33</v>
      </c>
      <c r="E229" t="s">
        <v>71</v>
      </c>
      <c r="F229" t="s">
        <v>62</v>
      </c>
      <c r="G229" t="s">
        <v>63</v>
      </c>
      <c r="H229" t="s">
        <v>225</v>
      </c>
      <c r="I229" t="s">
        <v>27</v>
      </c>
      <c r="J229" t="s">
        <v>525</v>
      </c>
      <c r="K229">
        <v>2021</v>
      </c>
      <c r="L229">
        <v>3</v>
      </c>
      <c r="M229">
        <v>2</v>
      </c>
      <c r="N229" t="s">
        <v>39</v>
      </c>
      <c r="O229">
        <v>3</v>
      </c>
      <c r="P229">
        <v>4</v>
      </c>
      <c r="Q229" t="s">
        <v>31</v>
      </c>
      <c r="R229">
        <v>12</v>
      </c>
      <c r="S229">
        <v>48</v>
      </c>
      <c r="T229">
        <v>61894</v>
      </c>
      <c r="U229">
        <v>1600</v>
      </c>
      <c r="V229">
        <v>6.4</v>
      </c>
      <c r="W229" t="s">
        <v>30</v>
      </c>
    </row>
    <row r="230" spans="1:23" x14ac:dyDescent="0.3">
      <c r="A230" t="s">
        <v>526</v>
      </c>
      <c r="B230" t="s">
        <v>1977</v>
      </c>
      <c r="C230">
        <v>46</v>
      </c>
      <c r="D230" t="s">
        <v>33</v>
      </c>
      <c r="E230" t="s">
        <v>61</v>
      </c>
      <c r="F230" t="s">
        <v>57</v>
      </c>
      <c r="G230" t="s">
        <v>36</v>
      </c>
      <c r="H230" t="s">
        <v>89</v>
      </c>
      <c r="I230" t="s">
        <v>27</v>
      </c>
      <c r="J230" t="s">
        <v>527</v>
      </c>
      <c r="K230">
        <v>2024</v>
      </c>
      <c r="L230">
        <v>0</v>
      </c>
      <c r="M230">
        <v>18</v>
      </c>
      <c r="N230" t="s">
        <v>98</v>
      </c>
      <c r="O230">
        <v>2</v>
      </c>
      <c r="P230">
        <v>4</v>
      </c>
      <c r="Q230" t="s">
        <v>30</v>
      </c>
      <c r="R230">
        <v>21</v>
      </c>
      <c r="S230">
        <v>55</v>
      </c>
      <c r="T230">
        <v>68611</v>
      </c>
      <c r="U230">
        <v>4100</v>
      </c>
      <c r="V230">
        <v>15</v>
      </c>
      <c r="W230" t="s">
        <v>31</v>
      </c>
    </row>
    <row r="231" spans="1:23" x14ac:dyDescent="0.3">
      <c r="A231" t="s">
        <v>528</v>
      </c>
      <c r="B231" t="s">
        <v>1872</v>
      </c>
      <c r="C231">
        <v>48</v>
      </c>
      <c r="D231" t="s">
        <v>41</v>
      </c>
      <c r="E231" t="s">
        <v>71</v>
      </c>
      <c r="F231" t="s">
        <v>62</v>
      </c>
      <c r="G231" t="s">
        <v>117</v>
      </c>
      <c r="H231" t="s">
        <v>198</v>
      </c>
      <c r="I231" t="s">
        <v>27</v>
      </c>
      <c r="J231" t="s">
        <v>529</v>
      </c>
      <c r="K231">
        <v>2024</v>
      </c>
      <c r="L231">
        <v>0</v>
      </c>
      <c r="M231">
        <v>20</v>
      </c>
      <c r="N231" t="s">
        <v>29</v>
      </c>
      <c r="O231">
        <v>4</v>
      </c>
      <c r="P231">
        <v>2</v>
      </c>
      <c r="Q231" t="s">
        <v>30</v>
      </c>
      <c r="R231">
        <v>22</v>
      </c>
      <c r="S231">
        <v>64</v>
      </c>
      <c r="T231">
        <v>84779</v>
      </c>
      <c r="U231">
        <v>10400</v>
      </c>
      <c r="V231">
        <v>8.4</v>
      </c>
      <c r="W231" t="s">
        <v>31</v>
      </c>
    </row>
    <row r="232" spans="1:23" x14ac:dyDescent="0.3">
      <c r="A232" t="s">
        <v>530</v>
      </c>
      <c r="B232" t="s">
        <v>1979</v>
      </c>
      <c r="C232">
        <v>48</v>
      </c>
      <c r="D232" t="s">
        <v>41</v>
      </c>
      <c r="E232" t="s">
        <v>71</v>
      </c>
      <c r="F232" t="s">
        <v>47</v>
      </c>
      <c r="G232" t="s">
        <v>36</v>
      </c>
      <c r="H232" t="s">
        <v>68</v>
      </c>
      <c r="I232" t="s">
        <v>27</v>
      </c>
      <c r="J232" t="s">
        <v>531</v>
      </c>
      <c r="K232">
        <v>2023</v>
      </c>
      <c r="L232">
        <v>1</v>
      </c>
      <c r="M232">
        <v>19</v>
      </c>
      <c r="N232" t="s">
        <v>29</v>
      </c>
      <c r="O232">
        <v>1</v>
      </c>
      <c r="P232">
        <v>5</v>
      </c>
      <c r="Q232" t="s">
        <v>31</v>
      </c>
      <c r="R232">
        <v>19</v>
      </c>
      <c r="S232">
        <v>11</v>
      </c>
      <c r="T232">
        <v>52416</v>
      </c>
      <c r="U232">
        <v>7500</v>
      </c>
      <c r="V232">
        <v>4</v>
      </c>
      <c r="W232" t="s">
        <v>31</v>
      </c>
    </row>
    <row r="233" spans="1:23" x14ac:dyDescent="0.3">
      <c r="A233" t="s">
        <v>532</v>
      </c>
      <c r="B233" t="s">
        <v>1878</v>
      </c>
      <c r="C233">
        <v>44</v>
      </c>
      <c r="D233" t="s">
        <v>41</v>
      </c>
      <c r="E233" t="s">
        <v>71</v>
      </c>
      <c r="F233" t="s">
        <v>24</v>
      </c>
      <c r="G233" t="s">
        <v>36</v>
      </c>
      <c r="H233" t="s">
        <v>37</v>
      </c>
      <c r="I233" t="s">
        <v>27</v>
      </c>
      <c r="J233" t="s">
        <v>399</v>
      </c>
      <c r="K233">
        <v>2021</v>
      </c>
      <c r="L233">
        <v>3</v>
      </c>
      <c r="M233">
        <v>18</v>
      </c>
      <c r="N233" t="s">
        <v>29</v>
      </c>
      <c r="O233">
        <v>3</v>
      </c>
      <c r="P233">
        <v>3</v>
      </c>
      <c r="Q233" t="s">
        <v>31</v>
      </c>
      <c r="R233">
        <v>5</v>
      </c>
      <c r="S233">
        <v>4</v>
      </c>
      <c r="T233">
        <v>67514</v>
      </c>
      <c r="U233">
        <v>6500</v>
      </c>
      <c r="V233">
        <v>8.4</v>
      </c>
      <c r="W233" t="s">
        <v>31</v>
      </c>
    </row>
    <row r="234" spans="1:23" x14ac:dyDescent="0.3">
      <c r="A234" t="s">
        <v>533</v>
      </c>
      <c r="B234" t="s">
        <v>1980</v>
      </c>
      <c r="C234">
        <v>43</v>
      </c>
      <c r="D234" t="s">
        <v>33</v>
      </c>
      <c r="E234" t="s">
        <v>71</v>
      </c>
      <c r="F234" t="s">
        <v>47</v>
      </c>
      <c r="G234" t="s">
        <v>100</v>
      </c>
      <c r="H234" t="s">
        <v>101</v>
      </c>
      <c r="I234" t="s">
        <v>27</v>
      </c>
      <c r="J234" t="s">
        <v>534</v>
      </c>
      <c r="K234">
        <v>2021</v>
      </c>
      <c r="L234">
        <v>3</v>
      </c>
      <c r="M234">
        <v>19</v>
      </c>
      <c r="N234" t="s">
        <v>98</v>
      </c>
      <c r="O234">
        <v>5</v>
      </c>
      <c r="P234">
        <v>3</v>
      </c>
      <c r="Q234" t="s">
        <v>31</v>
      </c>
      <c r="R234">
        <v>8</v>
      </c>
      <c r="S234">
        <v>32</v>
      </c>
      <c r="T234">
        <v>59120</v>
      </c>
      <c r="U234">
        <v>4300</v>
      </c>
      <c r="V234">
        <v>6.4</v>
      </c>
      <c r="W234" t="s">
        <v>30</v>
      </c>
    </row>
    <row r="235" spans="1:23" x14ac:dyDescent="0.3">
      <c r="A235" t="s">
        <v>535</v>
      </c>
      <c r="B235" t="s">
        <v>1981</v>
      </c>
      <c r="C235">
        <v>36</v>
      </c>
      <c r="D235" t="s">
        <v>33</v>
      </c>
      <c r="E235" t="s">
        <v>34</v>
      </c>
      <c r="F235" t="s">
        <v>35</v>
      </c>
      <c r="G235" t="s">
        <v>25</v>
      </c>
      <c r="H235" t="s">
        <v>26</v>
      </c>
      <c r="I235" t="s">
        <v>27</v>
      </c>
      <c r="J235" t="s">
        <v>536</v>
      </c>
      <c r="K235">
        <v>2022</v>
      </c>
      <c r="L235">
        <v>2</v>
      </c>
      <c r="M235">
        <v>12</v>
      </c>
      <c r="N235" t="s">
        <v>29</v>
      </c>
      <c r="O235">
        <v>2</v>
      </c>
      <c r="P235">
        <v>4</v>
      </c>
      <c r="Q235" t="s">
        <v>31</v>
      </c>
      <c r="R235">
        <v>24</v>
      </c>
      <c r="S235">
        <v>52</v>
      </c>
      <c r="T235">
        <v>100925</v>
      </c>
      <c r="U235">
        <v>10600</v>
      </c>
      <c r="V235">
        <v>9.3000000000000007</v>
      </c>
      <c r="W235" t="s">
        <v>30</v>
      </c>
    </row>
    <row r="236" spans="1:23" x14ac:dyDescent="0.3">
      <c r="A236" t="s">
        <v>537</v>
      </c>
      <c r="B236" t="s">
        <v>1890</v>
      </c>
      <c r="C236">
        <v>34</v>
      </c>
      <c r="D236" t="s">
        <v>41</v>
      </c>
      <c r="E236" t="s">
        <v>71</v>
      </c>
      <c r="F236" t="s">
        <v>42</v>
      </c>
      <c r="G236" t="s">
        <v>43</v>
      </c>
      <c r="H236" t="s">
        <v>48</v>
      </c>
      <c r="I236" t="s">
        <v>27</v>
      </c>
      <c r="J236" t="s">
        <v>538</v>
      </c>
      <c r="K236">
        <v>2022</v>
      </c>
      <c r="L236">
        <v>2</v>
      </c>
      <c r="M236">
        <v>12</v>
      </c>
      <c r="N236" t="s">
        <v>85</v>
      </c>
      <c r="O236">
        <v>4</v>
      </c>
      <c r="P236">
        <v>4</v>
      </c>
      <c r="Q236" t="s">
        <v>31</v>
      </c>
      <c r="R236">
        <v>8</v>
      </c>
      <c r="S236">
        <v>18</v>
      </c>
      <c r="T236">
        <v>85203</v>
      </c>
      <c r="U236">
        <v>16800</v>
      </c>
      <c r="V236">
        <v>8.6999999999999993</v>
      </c>
      <c r="W236" t="s">
        <v>31</v>
      </c>
    </row>
    <row r="237" spans="1:23" x14ac:dyDescent="0.3">
      <c r="A237" t="s">
        <v>539</v>
      </c>
      <c r="B237" t="s">
        <v>1982</v>
      </c>
      <c r="C237">
        <v>41</v>
      </c>
      <c r="D237" t="s">
        <v>41</v>
      </c>
      <c r="E237" t="s">
        <v>71</v>
      </c>
      <c r="F237" t="s">
        <v>47</v>
      </c>
      <c r="G237" t="s">
        <v>36</v>
      </c>
      <c r="H237" t="s">
        <v>89</v>
      </c>
      <c r="I237" t="s">
        <v>27</v>
      </c>
      <c r="J237" t="s">
        <v>540</v>
      </c>
      <c r="K237">
        <v>2024</v>
      </c>
      <c r="L237">
        <v>0</v>
      </c>
      <c r="M237">
        <v>11</v>
      </c>
      <c r="N237" t="s">
        <v>85</v>
      </c>
      <c r="O237">
        <v>3</v>
      </c>
      <c r="P237">
        <v>1</v>
      </c>
      <c r="Q237" t="s">
        <v>31</v>
      </c>
      <c r="R237">
        <v>8</v>
      </c>
      <c r="S237">
        <v>74</v>
      </c>
      <c r="T237">
        <v>47688</v>
      </c>
      <c r="U237">
        <v>9700</v>
      </c>
      <c r="V237">
        <v>7.2</v>
      </c>
      <c r="W237" t="s">
        <v>31</v>
      </c>
    </row>
    <row r="238" spans="1:23" x14ac:dyDescent="0.3">
      <c r="A238" t="s">
        <v>541</v>
      </c>
      <c r="B238" t="s">
        <v>1813</v>
      </c>
      <c r="C238">
        <v>44</v>
      </c>
      <c r="D238" t="s">
        <v>41</v>
      </c>
      <c r="E238" t="s">
        <v>71</v>
      </c>
      <c r="F238" t="s">
        <v>137</v>
      </c>
      <c r="G238" t="s">
        <v>63</v>
      </c>
      <c r="H238" t="s">
        <v>225</v>
      </c>
      <c r="I238" t="s">
        <v>27</v>
      </c>
      <c r="J238" t="s">
        <v>542</v>
      </c>
      <c r="K238">
        <v>2022</v>
      </c>
      <c r="L238">
        <v>2</v>
      </c>
      <c r="M238">
        <v>19</v>
      </c>
      <c r="N238" t="s">
        <v>98</v>
      </c>
      <c r="O238">
        <v>5</v>
      </c>
      <c r="P238">
        <v>1</v>
      </c>
      <c r="Q238" t="s">
        <v>31</v>
      </c>
      <c r="R238">
        <v>21</v>
      </c>
      <c r="S238">
        <v>57</v>
      </c>
      <c r="T238">
        <v>57207</v>
      </c>
      <c r="U238">
        <v>3500</v>
      </c>
      <c r="V238">
        <v>9.6</v>
      </c>
      <c r="W238" t="s">
        <v>31</v>
      </c>
    </row>
    <row r="239" spans="1:23" x14ac:dyDescent="0.3">
      <c r="A239" t="s">
        <v>543</v>
      </c>
      <c r="B239" t="s">
        <v>1983</v>
      </c>
      <c r="C239">
        <v>43</v>
      </c>
      <c r="D239" t="s">
        <v>41</v>
      </c>
      <c r="E239" t="s">
        <v>34</v>
      </c>
      <c r="F239" t="s">
        <v>35</v>
      </c>
      <c r="G239" t="s">
        <v>43</v>
      </c>
      <c r="H239" t="s">
        <v>96</v>
      </c>
      <c r="I239" t="s">
        <v>27</v>
      </c>
      <c r="J239" t="s">
        <v>544</v>
      </c>
      <c r="K239">
        <v>2022</v>
      </c>
      <c r="L239">
        <v>3</v>
      </c>
      <c r="M239">
        <v>20</v>
      </c>
      <c r="N239" t="s">
        <v>39</v>
      </c>
      <c r="O239">
        <v>5</v>
      </c>
      <c r="P239">
        <v>2</v>
      </c>
      <c r="Q239" t="s">
        <v>31</v>
      </c>
      <c r="R239">
        <v>3</v>
      </c>
      <c r="S239">
        <v>23</v>
      </c>
      <c r="T239">
        <v>98419</v>
      </c>
      <c r="U239">
        <v>3100</v>
      </c>
      <c r="V239">
        <v>11.5</v>
      </c>
      <c r="W239" t="s">
        <v>30</v>
      </c>
    </row>
    <row r="240" spans="1:23" x14ac:dyDescent="0.3">
      <c r="A240" t="s">
        <v>545</v>
      </c>
      <c r="B240" t="s">
        <v>1984</v>
      </c>
      <c r="C240">
        <v>37</v>
      </c>
      <c r="D240" t="s">
        <v>41</v>
      </c>
      <c r="E240" t="s">
        <v>71</v>
      </c>
      <c r="F240" t="s">
        <v>137</v>
      </c>
      <c r="G240" t="s">
        <v>100</v>
      </c>
      <c r="H240" t="s">
        <v>101</v>
      </c>
      <c r="I240" t="s">
        <v>27</v>
      </c>
      <c r="J240" t="s">
        <v>546</v>
      </c>
      <c r="K240">
        <v>2021</v>
      </c>
      <c r="L240">
        <v>3</v>
      </c>
      <c r="M240">
        <v>9</v>
      </c>
      <c r="N240" t="s">
        <v>29</v>
      </c>
      <c r="O240">
        <v>3</v>
      </c>
      <c r="P240">
        <v>2</v>
      </c>
      <c r="Q240" t="s">
        <v>31</v>
      </c>
      <c r="R240">
        <v>14</v>
      </c>
      <c r="S240">
        <v>8</v>
      </c>
      <c r="T240">
        <v>61194</v>
      </c>
      <c r="U240">
        <v>8200</v>
      </c>
      <c r="V240">
        <v>6.3</v>
      </c>
      <c r="W240" t="s">
        <v>30</v>
      </c>
    </row>
    <row r="241" spans="1:23" x14ac:dyDescent="0.3">
      <c r="A241" t="s">
        <v>547</v>
      </c>
      <c r="B241" t="s">
        <v>1985</v>
      </c>
      <c r="C241">
        <v>39</v>
      </c>
      <c r="D241" t="s">
        <v>22</v>
      </c>
      <c r="E241" t="s">
        <v>34</v>
      </c>
      <c r="F241" t="s">
        <v>57</v>
      </c>
      <c r="G241" t="s">
        <v>100</v>
      </c>
      <c r="H241" t="s">
        <v>129</v>
      </c>
      <c r="I241" t="s">
        <v>27</v>
      </c>
      <c r="J241" t="s">
        <v>548</v>
      </c>
      <c r="K241">
        <v>2024</v>
      </c>
      <c r="L241">
        <v>0</v>
      </c>
      <c r="M241">
        <v>16</v>
      </c>
      <c r="N241" t="s">
        <v>29</v>
      </c>
      <c r="O241">
        <v>3</v>
      </c>
      <c r="P241">
        <v>4</v>
      </c>
      <c r="Q241" t="s">
        <v>30</v>
      </c>
      <c r="R241">
        <v>0</v>
      </c>
      <c r="S241">
        <v>63</v>
      </c>
      <c r="T241">
        <v>68262</v>
      </c>
      <c r="U241">
        <v>8700</v>
      </c>
      <c r="V241">
        <v>14</v>
      </c>
      <c r="W241" t="s">
        <v>31</v>
      </c>
    </row>
    <row r="242" spans="1:23" x14ac:dyDescent="0.3">
      <c r="A242" t="s">
        <v>549</v>
      </c>
      <c r="B242" t="s">
        <v>1986</v>
      </c>
      <c r="C242">
        <v>33</v>
      </c>
      <c r="D242" t="s">
        <v>33</v>
      </c>
      <c r="E242" t="s">
        <v>71</v>
      </c>
      <c r="F242" t="s">
        <v>57</v>
      </c>
      <c r="G242" t="s">
        <v>43</v>
      </c>
      <c r="H242" t="s">
        <v>44</v>
      </c>
      <c r="I242" t="s">
        <v>27</v>
      </c>
      <c r="J242" t="s">
        <v>550</v>
      </c>
      <c r="K242">
        <v>2021</v>
      </c>
      <c r="L242">
        <v>3</v>
      </c>
      <c r="M242">
        <v>9</v>
      </c>
      <c r="N242" t="s">
        <v>29</v>
      </c>
      <c r="O242">
        <v>1</v>
      </c>
      <c r="P242">
        <v>4</v>
      </c>
      <c r="Q242" t="s">
        <v>31</v>
      </c>
      <c r="R242">
        <v>22</v>
      </c>
      <c r="S242">
        <v>61</v>
      </c>
      <c r="T242">
        <v>121292</v>
      </c>
      <c r="U242">
        <v>14600</v>
      </c>
      <c r="V242">
        <v>14.3</v>
      </c>
      <c r="W242" t="s">
        <v>31</v>
      </c>
    </row>
    <row r="243" spans="1:23" x14ac:dyDescent="0.3">
      <c r="A243" t="s">
        <v>551</v>
      </c>
      <c r="B243" t="s">
        <v>1817</v>
      </c>
      <c r="C243">
        <v>35</v>
      </c>
      <c r="D243" t="s">
        <v>33</v>
      </c>
      <c r="E243" t="s">
        <v>71</v>
      </c>
      <c r="F243" t="s">
        <v>47</v>
      </c>
      <c r="G243" t="s">
        <v>100</v>
      </c>
      <c r="H243" t="s">
        <v>150</v>
      </c>
      <c r="I243" t="s">
        <v>27</v>
      </c>
      <c r="J243" t="s">
        <v>141</v>
      </c>
      <c r="K243">
        <v>2023</v>
      </c>
      <c r="L243">
        <v>1</v>
      </c>
      <c r="M243">
        <v>13</v>
      </c>
      <c r="N243" t="s">
        <v>29</v>
      </c>
      <c r="O243">
        <v>2</v>
      </c>
      <c r="P243">
        <v>5</v>
      </c>
      <c r="Q243" t="s">
        <v>31</v>
      </c>
      <c r="R243">
        <v>1</v>
      </c>
      <c r="S243">
        <v>49</v>
      </c>
      <c r="T243">
        <v>45941</v>
      </c>
      <c r="U243">
        <v>6300</v>
      </c>
      <c r="V243">
        <v>7.1</v>
      </c>
      <c r="W243" t="s">
        <v>31</v>
      </c>
    </row>
    <row r="244" spans="1:23" x14ac:dyDescent="0.3">
      <c r="A244" t="s">
        <v>552</v>
      </c>
      <c r="B244" t="s">
        <v>1894</v>
      </c>
      <c r="C244">
        <v>41</v>
      </c>
      <c r="D244" t="s">
        <v>41</v>
      </c>
      <c r="E244" t="s">
        <v>34</v>
      </c>
      <c r="F244" t="s">
        <v>75</v>
      </c>
      <c r="G244" t="s">
        <v>82</v>
      </c>
      <c r="H244" t="s">
        <v>83</v>
      </c>
      <c r="I244" t="s">
        <v>27</v>
      </c>
      <c r="J244" t="s">
        <v>553</v>
      </c>
      <c r="K244">
        <v>2021</v>
      </c>
      <c r="L244">
        <v>3</v>
      </c>
      <c r="M244">
        <v>12</v>
      </c>
      <c r="N244" t="s">
        <v>29</v>
      </c>
      <c r="O244">
        <v>1</v>
      </c>
      <c r="P244">
        <v>5</v>
      </c>
      <c r="Q244" t="s">
        <v>31</v>
      </c>
      <c r="R244">
        <v>20</v>
      </c>
      <c r="S244">
        <v>39</v>
      </c>
      <c r="T244">
        <v>86470</v>
      </c>
      <c r="U244">
        <v>9100</v>
      </c>
      <c r="V244">
        <v>3.4</v>
      </c>
      <c r="W244" t="s">
        <v>30</v>
      </c>
    </row>
    <row r="245" spans="1:23" x14ac:dyDescent="0.3">
      <c r="A245" t="s">
        <v>554</v>
      </c>
      <c r="B245" t="s">
        <v>1871</v>
      </c>
      <c r="C245">
        <v>33</v>
      </c>
      <c r="D245" t="s">
        <v>33</v>
      </c>
      <c r="E245" t="s">
        <v>34</v>
      </c>
      <c r="F245" t="s">
        <v>42</v>
      </c>
      <c r="G245" t="s">
        <v>117</v>
      </c>
      <c r="H245" t="s">
        <v>118</v>
      </c>
      <c r="I245" t="s">
        <v>27</v>
      </c>
      <c r="J245" t="s">
        <v>555</v>
      </c>
      <c r="K245">
        <v>2024</v>
      </c>
      <c r="L245">
        <v>0</v>
      </c>
      <c r="M245">
        <v>11</v>
      </c>
      <c r="N245" t="s">
        <v>85</v>
      </c>
      <c r="O245">
        <v>5</v>
      </c>
      <c r="P245">
        <v>2</v>
      </c>
      <c r="Q245" t="s">
        <v>31</v>
      </c>
      <c r="R245">
        <v>2</v>
      </c>
      <c r="S245">
        <v>4</v>
      </c>
      <c r="T245">
        <v>102252</v>
      </c>
      <c r="U245">
        <v>17300</v>
      </c>
      <c r="V245">
        <v>12.7</v>
      </c>
      <c r="W245" t="s">
        <v>31</v>
      </c>
    </row>
    <row r="246" spans="1:23" x14ac:dyDescent="0.3">
      <c r="A246" t="s">
        <v>556</v>
      </c>
      <c r="B246" t="s">
        <v>1987</v>
      </c>
      <c r="C246">
        <v>27</v>
      </c>
      <c r="D246" t="s">
        <v>41</v>
      </c>
      <c r="E246" t="s">
        <v>34</v>
      </c>
      <c r="F246" t="s">
        <v>57</v>
      </c>
      <c r="G246" t="s">
        <v>43</v>
      </c>
      <c r="H246" t="s">
        <v>44</v>
      </c>
      <c r="I246" t="s">
        <v>27</v>
      </c>
      <c r="J246" t="s">
        <v>557</v>
      </c>
      <c r="K246">
        <v>2021</v>
      </c>
      <c r="L246">
        <v>3</v>
      </c>
      <c r="M246">
        <v>5</v>
      </c>
      <c r="N246" t="s">
        <v>39</v>
      </c>
      <c r="O246">
        <v>5</v>
      </c>
      <c r="P246">
        <v>5</v>
      </c>
      <c r="Q246" t="s">
        <v>30</v>
      </c>
      <c r="R246">
        <v>7</v>
      </c>
      <c r="S246">
        <v>8</v>
      </c>
      <c r="T246">
        <v>76548</v>
      </c>
      <c r="U246">
        <v>2600</v>
      </c>
      <c r="V246">
        <v>4.2</v>
      </c>
      <c r="W246" t="s">
        <v>31</v>
      </c>
    </row>
    <row r="247" spans="1:23" x14ac:dyDescent="0.3">
      <c r="A247" t="s">
        <v>558</v>
      </c>
      <c r="B247" t="s">
        <v>1988</v>
      </c>
      <c r="C247">
        <v>49</v>
      </c>
      <c r="D247" t="s">
        <v>41</v>
      </c>
      <c r="E247" t="s">
        <v>34</v>
      </c>
      <c r="F247" t="s">
        <v>47</v>
      </c>
      <c r="G247" t="s">
        <v>25</v>
      </c>
      <c r="H247" t="s">
        <v>205</v>
      </c>
      <c r="I247" t="s">
        <v>27</v>
      </c>
      <c r="J247" t="s">
        <v>559</v>
      </c>
      <c r="K247">
        <v>2024</v>
      </c>
      <c r="L247">
        <v>0</v>
      </c>
      <c r="M247">
        <v>19</v>
      </c>
      <c r="N247" t="s">
        <v>39</v>
      </c>
      <c r="O247">
        <v>4</v>
      </c>
      <c r="P247">
        <v>2</v>
      </c>
      <c r="Q247" t="s">
        <v>30</v>
      </c>
      <c r="R247">
        <v>22</v>
      </c>
      <c r="S247">
        <v>47</v>
      </c>
      <c r="T247">
        <v>109816</v>
      </c>
      <c r="U247">
        <v>2900</v>
      </c>
      <c r="V247">
        <v>3.5</v>
      </c>
      <c r="W247" t="s">
        <v>30</v>
      </c>
    </row>
    <row r="248" spans="1:23" x14ac:dyDescent="0.3">
      <c r="A248" t="s">
        <v>560</v>
      </c>
      <c r="B248" t="s">
        <v>1989</v>
      </c>
      <c r="C248">
        <v>48</v>
      </c>
      <c r="D248" t="s">
        <v>41</v>
      </c>
      <c r="E248" t="s">
        <v>61</v>
      </c>
      <c r="F248" t="s">
        <v>62</v>
      </c>
      <c r="G248" t="s">
        <v>43</v>
      </c>
      <c r="H248" t="s">
        <v>44</v>
      </c>
      <c r="I248" t="s">
        <v>79</v>
      </c>
      <c r="J248" t="s">
        <v>561</v>
      </c>
      <c r="K248">
        <v>2021</v>
      </c>
      <c r="L248">
        <v>3</v>
      </c>
      <c r="M248">
        <v>20</v>
      </c>
      <c r="N248" t="s">
        <v>98</v>
      </c>
      <c r="O248">
        <v>4</v>
      </c>
      <c r="P248">
        <v>4</v>
      </c>
      <c r="Q248" t="s">
        <v>31</v>
      </c>
      <c r="R248">
        <v>22</v>
      </c>
      <c r="S248">
        <v>16</v>
      </c>
      <c r="T248">
        <v>72048</v>
      </c>
      <c r="U248">
        <v>4200</v>
      </c>
      <c r="V248">
        <v>3.1</v>
      </c>
      <c r="W248" t="s">
        <v>31</v>
      </c>
    </row>
    <row r="249" spans="1:23" x14ac:dyDescent="0.3">
      <c r="A249" t="s">
        <v>562</v>
      </c>
      <c r="B249" t="s">
        <v>1990</v>
      </c>
      <c r="C249">
        <v>28</v>
      </c>
      <c r="D249" t="s">
        <v>41</v>
      </c>
      <c r="E249" t="s">
        <v>71</v>
      </c>
      <c r="F249" t="s">
        <v>42</v>
      </c>
      <c r="G249" t="s">
        <v>43</v>
      </c>
      <c r="H249" t="s">
        <v>44</v>
      </c>
      <c r="I249" t="s">
        <v>27</v>
      </c>
      <c r="J249" t="s">
        <v>563</v>
      </c>
      <c r="K249">
        <v>2024</v>
      </c>
      <c r="L249">
        <v>0</v>
      </c>
      <c r="M249">
        <v>6</v>
      </c>
      <c r="N249" t="s">
        <v>29</v>
      </c>
      <c r="O249">
        <v>1</v>
      </c>
      <c r="P249">
        <v>5</v>
      </c>
      <c r="Q249" t="s">
        <v>31</v>
      </c>
      <c r="R249">
        <v>3</v>
      </c>
      <c r="S249">
        <v>79</v>
      </c>
      <c r="T249">
        <v>135521</v>
      </c>
      <c r="U249">
        <v>13600</v>
      </c>
      <c r="V249">
        <v>12.9</v>
      </c>
      <c r="W249" t="s">
        <v>31</v>
      </c>
    </row>
    <row r="250" spans="1:23" x14ac:dyDescent="0.3">
      <c r="A250" t="s">
        <v>564</v>
      </c>
      <c r="B250" t="s">
        <v>1991</v>
      </c>
      <c r="C250">
        <v>33</v>
      </c>
      <c r="D250" t="s">
        <v>33</v>
      </c>
      <c r="E250" t="s">
        <v>34</v>
      </c>
      <c r="F250" t="s">
        <v>137</v>
      </c>
      <c r="G250" t="s">
        <v>25</v>
      </c>
      <c r="H250" t="s">
        <v>58</v>
      </c>
      <c r="I250" t="s">
        <v>27</v>
      </c>
      <c r="J250" t="s">
        <v>565</v>
      </c>
      <c r="K250">
        <v>2022</v>
      </c>
      <c r="L250">
        <v>2</v>
      </c>
      <c r="M250">
        <v>7</v>
      </c>
      <c r="N250" t="s">
        <v>98</v>
      </c>
      <c r="O250">
        <v>3</v>
      </c>
      <c r="P250">
        <v>3</v>
      </c>
      <c r="Q250" t="s">
        <v>30</v>
      </c>
      <c r="R250">
        <v>6</v>
      </c>
      <c r="S250">
        <v>55</v>
      </c>
      <c r="T250">
        <v>62384</v>
      </c>
      <c r="U250">
        <v>4700</v>
      </c>
      <c r="V250">
        <v>14.6</v>
      </c>
      <c r="W250" t="s">
        <v>31</v>
      </c>
    </row>
    <row r="251" spans="1:23" x14ac:dyDescent="0.3">
      <c r="A251" t="s">
        <v>566</v>
      </c>
      <c r="B251" t="s">
        <v>1992</v>
      </c>
      <c r="C251">
        <v>32</v>
      </c>
      <c r="D251" t="s">
        <v>41</v>
      </c>
      <c r="E251" t="s">
        <v>34</v>
      </c>
      <c r="F251" t="s">
        <v>24</v>
      </c>
      <c r="G251" t="s">
        <v>43</v>
      </c>
      <c r="H251" t="s">
        <v>96</v>
      </c>
      <c r="I251" t="s">
        <v>27</v>
      </c>
      <c r="J251" t="s">
        <v>246</v>
      </c>
      <c r="K251">
        <v>2024</v>
      </c>
      <c r="L251">
        <v>0</v>
      </c>
      <c r="M251">
        <v>2</v>
      </c>
      <c r="N251" t="s">
        <v>29</v>
      </c>
      <c r="O251">
        <v>3</v>
      </c>
      <c r="P251">
        <v>2</v>
      </c>
      <c r="Q251" t="s">
        <v>31</v>
      </c>
      <c r="R251">
        <v>24</v>
      </c>
      <c r="S251">
        <v>14</v>
      </c>
      <c r="T251">
        <v>73809</v>
      </c>
      <c r="U251">
        <v>7500</v>
      </c>
      <c r="V251">
        <v>13.7</v>
      </c>
      <c r="W251" t="s">
        <v>31</v>
      </c>
    </row>
    <row r="252" spans="1:23" x14ac:dyDescent="0.3">
      <c r="A252" t="s">
        <v>567</v>
      </c>
      <c r="B252" t="s">
        <v>1993</v>
      </c>
      <c r="C252">
        <v>31</v>
      </c>
      <c r="D252" t="s">
        <v>41</v>
      </c>
      <c r="E252" t="s">
        <v>71</v>
      </c>
      <c r="F252" t="s">
        <v>24</v>
      </c>
      <c r="G252" t="s">
        <v>43</v>
      </c>
      <c r="H252" t="s">
        <v>96</v>
      </c>
      <c r="I252" t="s">
        <v>27</v>
      </c>
      <c r="J252" t="s">
        <v>477</v>
      </c>
      <c r="K252">
        <v>2024</v>
      </c>
      <c r="L252">
        <v>0</v>
      </c>
      <c r="M252">
        <v>8</v>
      </c>
      <c r="N252" t="s">
        <v>85</v>
      </c>
      <c r="O252">
        <v>2</v>
      </c>
      <c r="P252">
        <v>3</v>
      </c>
      <c r="Q252" t="s">
        <v>30</v>
      </c>
      <c r="R252">
        <v>8</v>
      </c>
      <c r="S252">
        <v>25</v>
      </c>
      <c r="T252">
        <v>133492</v>
      </c>
      <c r="U252">
        <v>26000</v>
      </c>
      <c r="V252">
        <v>5.6</v>
      </c>
      <c r="W252" t="s">
        <v>31</v>
      </c>
    </row>
    <row r="253" spans="1:23" x14ac:dyDescent="0.3">
      <c r="A253" t="s">
        <v>568</v>
      </c>
      <c r="B253" t="s">
        <v>1994</v>
      </c>
      <c r="C253">
        <v>33</v>
      </c>
      <c r="D253" t="s">
        <v>41</v>
      </c>
      <c r="E253" t="s">
        <v>71</v>
      </c>
      <c r="F253" t="s">
        <v>62</v>
      </c>
      <c r="G253" t="s">
        <v>52</v>
      </c>
      <c r="H253" t="s">
        <v>208</v>
      </c>
      <c r="I253" t="s">
        <v>65</v>
      </c>
      <c r="J253" t="s">
        <v>569</v>
      </c>
      <c r="K253">
        <v>2021</v>
      </c>
      <c r="L253">
        <v>3</v>
      </c>
      <c r="M253">
        <v>4</v>
      </c>
      <c r="N253" t="s">
        <v>98</v>
      </c>
      <c r="O253">
        <v>5</v>
      </c>
      <c r="P253">
        <v>5</v>
      </c>
      <c r="Q253" t="s">
        <v>31</v>
      </c>
      <c r="R253">
        <v>7</v>
      </c>
      <c r="S253">
        <v>11</v>
      </c>
      <c r="T253">
        <v>56219</v>
      </c>
      <c r="U253">
        <v>3500</v>
      </c>
      <c r="V253">
        <v>6.5</v>
      </c>
      <c r="W253" t="s">
        <v>31</v>
      </c>
    </row>
    <row r="254" spans="1:23" x14ac:dyDescent="0.3">
      <c r="A254" t="s">
        <v>570</v>
      </c>
      <c r="B254" t="s">
        <v>1995</v>
      </c>
      <c r="C254">
        <v>41</v>
      </c>
      <c r="D254" t="s">
        <v>33</v>
      </c>
      <c r="E254" t="s">
        <v>34</v>
      </c>
      <c r="F254" t="s">
        <v>62</v>
      </c>
      <c r="G254" t="s">
        <v>36</v>
      </c>
      <c r="H254" t="s">
        <v>89</v>
      </c>
      <c r="I254" t="s">
        <v>65</v>
      </c>
      <c r="J254" t="s">
        <v>571</v>
      </c>
      <c r="K254">
        <v>2022</v>
      </c>
      <c r="L254">
        <v>2</v>
      </c>
      <c r="M254">
        <v>15</v>
      </c>
      <c r="N254" t="s">
        <v>98</v>
      </c>
      <c r="O254">
        <v>5</v>
      </c>
      <c r="P254">
        <v>1</v>
      </c>
      <c r="Q254" t="s">
        <v>31</v>
      </c>
      <c r="R254">
        <v>13</v>
      </c>
      <c r="S254">
        <v>5</v>
      </c>
      <c r="T254">
        <v>73056</v>
      </c>
      <c r="U254">
        <v>4600</v>
      </c>
      <c r="V254">
        <v>6.9</v>
      </c>
      <c r="W254" t="s">
        <v>31</v>
      </c>
    </row>
    <row r="255" spans="1:23" x14ac:dyDescent="0.3">
      <c r="A255" t="s">
        <v>572</v>
      </c>
      <c r="B255" t="s">
        <v>1996</v>
      </c>
      <c r="C255">
        <v>39</v>
      </c>
      <c r="D255" t="s">
        <v>22</v>
      </c>
      <c r="E255" t="s">
        <v>71</v>
      </c>
      <c r="F255" t="s">
        <v>24</v>
      </c>
      <c r="G255" t="s">
        <v>82</v>
      </c>
      <c r="H255" t="s">
        <v>286</v>
      </c>
      <c r="I255" t="s">
        <v>27</v>
      </c>
      <c r="J255" t="s">
        <v>573</v>
      </c>
      <c r="K255">
        <v>2024</v>
      </c>
      <c r="L255">
        <v>0</v>
      </c>
      <c r="M255">
        <v>16</v>
      </c>
      <c r="N255" t="s">
        <v>85</v>
      </c>
      <c r="O255">
        <v>1</v>
      </c>
      <c r="P255">
        <v>1</v>
      </c>
      <c r="Q255" t="s">
        <v>30</v>
      </c>
      <c r="R255">
        <v>15</v>
      </c>
      <c r="S255">
        <v>39</v>
      </c>
      <c r="T255">
        <v>60762</v>
      </c>
      <c r="U255">
        <v>13400</v>
      </c>
      <c r="V255">
        <v>11.3</v>
      </c>
      <c r="W255" t="s">
        <v>31</v>
      </c>
    </row>
    <row r="256" spans="1:23" x14ac:dyDescent="0.3">
      <c r="A256" t="s">
        <v>574</v>
      </c>
      <c r="B256" t="s">
        <v>1997</v>
      </c>
      <c r="C256">
        <v>33</v>
      </c>
      <c r="D256" t="s">
        <v>33</v>
      </c>
      <c r="E256" t="s">
        <v>34</v>
      </c>
      <c r="F256" t="s">
        <v>24</v>
      </c>
      <c r="G256" t="s">
        <v>117</v>
      </c>
      <c r="H256" t="s">
        <v>198</v>
      </c>
      <c r="I256" t="s">
        <v>27</v>
      </c>
      <c r="J256" t="s">
        <v>261</v>
      </c>
      <c r="K256">
        <v>2021</v>
      </c>
      <c r="L256">
        <v>3</v>
      </c>
      <c r="M256">
        <v>5</v>
      </c>
      <c r="N256" t="s">
        <v>29</v>
      </c>
      <c r="O256">
        <v>3</v>
      </c>
      <c r="P256">
        <v>4</v>
      </c>
      <c r="Q256" t="s">
        <v>31</v>
      </c>
      <c r="R256">
        <v>24</v>
      </c>
      <c r="S256">
        <v>34</v>
      </c>
      <c r="T256">
        <v>79275</v>
      </c>
      <c r="U256">
        <v>10300</v>
      </c>
      <c r="V256">
        <v>3</v>
      </c>
      <c r="W256" t="s">
        <v>31</v>
      </c>
    </row>
    <row r="257" spans="1:23" x14ac:dyDescent="0.3">
      <c r="A257" t="s">
        <v>575</v>
      </c>
      <c r="B257" t="s">
        <v>1998</v>
      </c>
      <c r="C257">
        <v>44</v>
      </c>
      <c r="D257" t="s">
        <v>33</v>
      </c>
      <c r="E257" t="s">
        <v>56</v>
      </c>
      <c r="F257" t="s">
        <v>57</v>
      </c>
      <c r="G257" t="s">
        <v>117</v>
      </c>
      <c r="H257" t="s">
        <v>198</v>
      </c>
      <c r="I257" t="s">
        <v>27</v>
      </c>
      <c r="J257" t="s">
        <v>576</v>
      </c>
      <c r="K257">
        <v>2023</v>
      </c>
      <c r="L257">
        <v>1</v>
      </c>
      <c r="M257">
        <v>17</v>
      </c>
      <c r="N257" t="s">
        <v>29</v>
      </c>
      <c r="O257">
        <v>2</v>
      </c>
      <c r="P257">
        <v>2</v>
      </c>
      <c r="Q257" t="s">
        <v>31</v>
      </c>
      <c r="R257">
        <v>10</v>
      </c>
      <c r="S257">
        <v>30</v>
      </c>
      <c r="T257">
        <v>62272</v>
      </c>
      <c r="U257">
        <v>7400</v>
      </c>
      <c r="V257">
        <v>3.5</v>
      </c>
      <c r="W257" t="s">
        <v>31</v>
      </c>
    </row>
    <row r="258" spans="1:23" x14ac:dyDescent="0.3">
      <c r="A258" t="s">
        <v>577</v>
      </c>
      <c r="B258" t="s">
        <v>1915</v>
      </c>
      <c r="C258">
        <v>35</v>
      </c>
      <c r="D258" t="s">
        <v>33</v>
      </c>
      <c r="E258" t="s">
        <v>34</v>
      </c>
      <c r="F258" t="s">
        <v>42</v>
      </c>
      <c r="G258" t="s">
        <v>36</v>
      </c>
      <c r="H258" t="s">
        <v>76</v>
      </c>
      <c r="I258" t="s">
        <v>27</v>
      </c>
      <c r="J258" t="s">
        <v>578</v>
      </c>
      <c r="K258">
        <v>2022</v>
      </c>
      <c r="L258">
        <v>2</v>
      </c>
      <c r="M258">
        <v>8</v>
      </c>
      <c r="N258" t="s">
        <v>29</v>
      </c>
      <c r="O258">
        <v>1</v>
      </c>
      <c r="P258">
        <v>4</v>
      </c>
      <c r="Q258" t="s">
        <v>31</v>
      </c>
      <c r="R258">
        <v>22</v>
      </c>
      <c r="S258">
        <v>68</v>
      </c>
      <c r="T258">
        <v>62521</v>
      </c>
      <c r="U258">
        <v>7300</v>
      </c>
      <c r="V258">
        <v>3.7</v>
      </c>
      <c r="W258" t="s">
        <v>31</v>
      </c>
    </row>
    <row r="259" spans="1:23" x14ac:dyDescent="0.3">
      <c r="A259" t="s">
        <v>579</v>
      </c>
      <c r="B259" t="s">
        <v>1970</v>
      </c>
      <c r="C259">
        <v>26</v>
      </c>
      <c r="D259" t="s">
        <v>41</v>
      </c>
      <c r="E259" t="s">
        <v>34</v>
      </c>
      <c r="F259" t="s">
        <v>51</v>
      </c>
      <c r="G259" t="s">
        <v>43</v>
      </c>
      <c r="H259" t="s">
        <v>96</v>
      </c>
      <c r="I259" t="s">
        <v>27</v>
      </c>
      <c r="J259" t="s">
        <v>580</v>
      </c>
      <c r="K259">
        <v>2021</v>
      </c>
      <c r="L259">
        <v>3</v>
      </c>
      <c r="M259">
        <v>3</v>
      </c>
      <c r="N259" t="s">
        <v>29</v>
      </c>
      <c r="O259">
        <v>2</v>
      </c>
      <c r="P259">
        <v>5</v>
      </c>
      <c r="Q259" t="s">
        <v>31</v>
      </c>
      <c r="R259">
        <v>20</v>
      </c>
      <c r="S259">
        <v>2</v>
      </c>
      <c r="T259">
        <v>93437</v>
      </c>
      <c r="U259">
        <v>13300</v>
      </c>
      <c r="V259">
        <v>4.3</v>
      </c>
      <c r="W259" t="s">
        <v>31</v>
      </c>
    </row>
    <row r="260" spans="1:23" x14ac:dyDescent="0.3">
      <c r="A260" t="s">
        <v>581</v>
      </c>
      <c r="B260" t="s">
        <v>1999</v>
      </c>
      <c r="C260">
        <v>43</v>
      </c>
      <c r="D260" t="s">
        <v>41</v>
      </c>
      <c r="E260" t="s">
        <v>71</v>
      </c>
      <c r="F260" t="s">
        <v>24</v>
      </c>
      <c r="G260" t="s">
        <v>43</v>
      </c>
      <c r="H260" t="s">
        <v>96</v>
      </c>
      <c r="I260" t="s">
        <v>27</v>
      </c>
      <c r="J260" t="s">
        <v>582</v>
      </c>
      <c r="K260">
        <v>2022</v>
      </c>
      <c r="L260">
        <v>2</v>
      </c>
      <c r="M260">
        <v>14</v>
      </c>
      <c r="N260" t="s">
        <v>29</v>
      </c>
      <c r="O260">
        <v>3</v>
      </c>
      <c r="P260">
        <v>3</v>
      </c>
      <c r="Q260" t="s">
        <v>31</v>
      </c>
      <c r="R260">
        <v>15</v>
      </c>
      <c r="S260">
        <v>75</v>
      </c>
      <c r="T260">
        <v>72815</v>
      </c>
      <c r="U260">
        <v>7200</v>
      </c>
      <c r="V260">
        <v>13.5</v>
      </c>
      <c r="W260" t="s">
        <v>31</v>
      </c>
    </row>
    <row r="261" spans="1:23" x14ac:dyDescent="0.3">
      <c r="A261" t="s">
        <v>583</v>
      </c>
      <c r="B261" t="s">
        <v>1810</v>
      </c>
      <c r="C261">
        <v>34</v>
      </c>
      <c r="D261" t="s">
        <v>41</v>
      </c>
      <c r="E261" t="s">
        <v>71</v>
      </c>
      <c r="F261" t="s">
        <v>35</v>
      </c>
      <c r="G261" t="s">
        <v>117</v>
      </c>
      <c r="H261" t="s">
        <v>118</v>
      </c>
      <c r="I261" t="s">
        <v>27</v>
      </c>
      <c r="J261" t="s">
        <v>584</v>
      </c>
      <c r="K261">
        <v>2023</v>
      </c>
      <c r="L261">
        <v>1</v>
      </c>
      <c r="M261">
        <v>9</v>
      </c>
      <c r="N261" t="s">
        <v>98</v>
      </c>
      <c r="O261">
        <v>3</v>
      </c>
      <c r="P261">
        <v>2</v>
      </c>
      <c r="Q261" t="s">
        <v>30</v>
      </c>
      <c r="R261">
        <v>5</v>
      </c>
      <c r="S261">
        <v>19</v>
      </c>
      <c r="T261">
        <v>73883</v>
      </c>
      <c r="U261">
        <v>4200</v>
      </c>
      <c r="V261">
        <v>7.2</v>
      </c>
      <c r="W261" t="s">
        <v>31</v>
      </c>
    </row>
    <row r="262" spans="1:23" x14ac:dyDescent="0.3">
      <c r="A262" t="s">
        <v>585</v>
      </c>
      <c r="B262" t="s">
        <v>2000</v>
      </c>
      <c r="C262">
        <v>36</v>
      </c>
      <c r="D262" t="s">
        <v>41</v>
      </c>
      <c r="E262" t="s">
        <v>34</v>
      </c>
      <c r="F262" t="s">
        <v>35</v>
      </c>
      <c r="G262" t="s">
        <v>63</v>
      </c>
      <c r="H262" t="s">
        <v>64</v>
      </c>
      <c r="I262" t="s">
        <v>27</v>
      </c>
      <c r="J262" t="s">
        <v>586</v>
      </c>
      <c r="K262">
        <v>2022</v>
      </c>
      <c r="L262">
        <v>2</v>
      </c>
      <c r="M262">
        <v>12</v>
      </c>
      <c r="N262" t="s">
        <v>85</v>
      </c>
      <c r="O262">
        <v>1</v>
      </c>
      <c r="P262">
        <v>1</v>
      </c>
      <c r="Q262" t="s">
        <v>31</v>
      </c>
      <c r="R262">
        <v>12</v>
      </c>
      <c r="S262">
        <v>63</v>
      </c>
      <c r="T262">
        <v>58171</v>
      </c>
      <c r="U262">
        <v>10800</v>
      </c>
      <c r="V262">
        <v>7.1</v>
      </c>
      <c r="W262" t="s">
        <v>31</v>
      </c>
    </row>
    <row r="263" spans="1:23" x14ac:dyDescent="0.3">
      <c r="A263" t="s">
        <v>587</v>
      </c>
      <c r="B263" t="s">
        <v>1817</v>
      </c>
      <c r="C263">
        <v>48</v>
      </c>
      <c r="D263" t="s">
        <v>33</v>
      </c>
      <c r="E263" t="s">
        <v>34</v>
      </c>
      <c r="F263" t="s">
        <v>35</v>
      </c>
      <c r="G263" t="s">
        <v>63</v>
      </c>
      <c r="H263" t="s">
        <v>64</v>
      </c>
      <c r="I263" t="s">
        <v>27</v>
      </c>
      <c r="J263" t="s">
        <v>588</v>
      </c>
      <c r="K263">
        <v>2022</v>
      </c>
      <c r="L263">
        <v>2</v>
      </c>
      <c r="M263">
        <v>18</v>
      </c>
      <c r="N263" t="s">
        <v>29</v>
      </c>
      <c r="O263">
        <v>4</v>
      </c>
      <c r="P263">
        <v>3</v>
      </c>
      <c r="Q263" t="s">
        <v>31</v>
      </c>
      <c r="R263">
        <v>22</v>
      </c>
      <c r="S263">
        <v>14</v>
      </c>
      <c r="T263">
        <v>58116</v>
      </c>
      <c r="U263">
        <v>8100</v>
      </c>
      <c r="V263">
        <v>14.6</v>
      </c>
      <c r="W263" t="s">
        <v>31</v>
      </c>
    </row>
    <row r="264" spans="1:23" x14ac:dyDescent="0.3">
      <c r="A264" t="s">
        <v>589</v>
      </c>
      <c r="B264" t="s">
        <v>2001</v>
      </c>
      <c r="C264">
        <v>38</v>
      </c>
      <c r="D264" t="s">
        <v>33</v>
      </c>
      <c r="E264" t="s">
        <v>34</v>
      </c>
      <c r="F264" t="s">
        <v>47</v>
      </c>
      <c r="G264" t="s">
        <v>43</v>
      </c>
      <c r="H264" t="s">
        <v>48</v>
      </c>
      <c r="I264" t="s">
        <v>27</v>
      </c>
      <c r="J264" t="s">
        <v>315</v>
      </c>
      <c r="K264">
        <v>2021</v>
      </c>
      <c r="L264">
        <v>3</v>
      </c>
      <c r="M264">
        <v>13</v>
      </c>
      <c r="N264" t="s">
        <v>29</v>
      </c>
      <c r="O264">
        <v>1</v>
      </c>
      <c r="P264">
        <v>5</v>
      </c>
      <c r="Q264" t="s">
        <v>31</v>
      </c>
      <c r="R264">
        <v>14</v>
      </c>
      <c r="S264">
        <v>11</v>
      </c>
      <c r="T264">
        <v>82121</v>
      </c>
      <c r="U264">
        <v>10300</v>
      </c>
      <c r="V264">
        <v>5.3</v>
      </c>
      <c r="W264" t="s">
        <v>31</v>
      </c>
    </row>
    <row r="265" spans="1:23" x14ac:dyDescent="0.3">
      <c r="A265" t="s">
        <v>590</v>
      </c>
      <c r="B265" t="s">
        <v>2002</v>
      </c>
      <c r="C265">
        <v>37</v>
      </c>
      <c r="D265" t="s">
        <v>41</v>
      </c>
      <c r="E265" t="s">
        <v>71</v>
      </c>
      <c r="F265" t="s">
        <v>42</v>
      </c>
      <c r="G265" t="s">
        <v>36</v>
      </c>
      <c r="H265" t="s">
        <v>89</v>
      </c>
      <c r="I265" t="s">
        <v>27</v>
      </c>
      <c r="J265" t="s">
        <v>591</v>
      </c>
      <c r="K265">
        <v>2021</v>
      </c>
      <c r="L265">
        <v>3</v>
      </c>
      <c r="M265">
        <v>13</v>
      </c>
      <c r="N265" t="s">
        <v>29</v>
      </c>
      <c r="O265">
        <v>4</v>
      </c>
      <c r="P265">
        <v>4</v>
      </c>
      <c r="Q265" t="s">
        <v>31</v>
      </c>
      <c r="R265">
        <v>14</v>
      </c>
      <c r="S265">
        <v>36</v>
      </c>
      <c r="T265">
        <v>73025</v>
      </c>
      <c r="U265">
        <v>8300</v>
      </c>
      <c r="V265">
        <v>6.4</v>
      </c>
      <c r="W265" t="s">
        <v>31</v>
      </c>
    </row>
    <row r="266" spans="1:23" x14ac:dyDescent="0.3">
      <c r="A266" t="s">
        <v>592</v>
      </c>
      <c r="B266" t="s">
        <v>2003</v>
      </c>
      <c r="C266">
        <v>42</v>
      </c>
      <c r="D266" t="s">
        <v>33</v>
      </c>
      <c r="E266" t="s">
        <v>34</v>
      </c>
      <c r="F266" t="s">
        <v>153</v>
      </c>
      <c r="G266" t="s">
        <v>52</v>
      </c>
      <c r="H266" t="s">
        <v>53</v>
      </c>
      <c r="I266" t="s">
        <v>27</v>
      </c>
      <c r="J266" t="s">
        <v>593</v>
      </c>
      <c r="K266">
        <v>2024</v>
      </c>
      <c r="L266">
        <v>0</v>
      </c>
      <c r="M266">
        <v>19</v>
      </c>
      <c r="N266" t="s">
        <v>29</v>
      </c>
      <c r="O266">
        <v>4</v>
      </c>
      <c r="P266">
        <v>3</v>
      </c>
      <c r="Q266" t="s">
        <v>31</v>
      </c>
      <c r="R266">
        <v>13</v>
      </c>
      <c r="S266">
        <v>22</v>
      </c>
      <c r="T266">
        <v>64872</v>
      </c>
      <c r="U266">
        <v>8900</v>
      </c>
      <c r="V266">
        <v>14.8</v>
      </c>
      <c r="W266" t="s">
        <v>30</v>
      </c>
    </row>
    <row r="267" spans="1:23" x14ac:dyDescent="0.3">
      <c r="A267" t="s">
        <v>594</v>
      </c>
      <c r="B267" t="s">
        <v>1887</v>
      </c>
      <c r="C267">
        <v>39</v>
      </c>
      <c r="D267" t="s">
        <v>33</v>
      </c>
      <c r="E267" t="s">
        <v>71</v>
      </c>
      <c r="F267" t="s">
        <v>75</v>
      </c>
      <c r="G267" t="s">
        <v>25</v>
      </c>
      <c r="H267" t="s">
        <v>110</v>
      </c>
      <c r="I267" t="s">
        <v>27</v>
      </c>
      <c r="J267" t="s">
        <v>595</v>
      </c>
      <c r="K267">
        <v>2022</v>
      </c>
      <c r="L267">
        <v>2</v>
      </c>
      <c r="M267">
        <v>13</v>
      </c>
      <c r="N267" t="s">
        <v>98</v>
      </c>
      <c r="O267">
        <v>1</v>
      </c>
      <c r="P267">
        <v>2</v>
      </c>
      <c r="Q267" t="s">
        <v>31</v>
      </c>
      <c r="R267">
        <v>8</v>
      </c>
      <c r="S267">
        <v>38</v>
      </c>
      <c r="T267">
        <v>57767</v>
      </c>
      <c r="U267">
        <v>3700</v>
      </c>
      <c r="V267">
        <v>10</v>
      </c>
      <c r="W267" t="s">
        <v>31</v>
      </c>
    </row>
    <row r="268" spans="1:23" x14ac:dyDescent="0.3">
      <c r="A268" t="s">
        <v>596</v>
      </c>
      <c r="B268" t="s">
        <v>1984</v>
      </c>
      <c r="C268">
        <v>41</v>
      </c>
      <c r="D268" t="s">
        <v>41</v>
      </c>
      <c r="E268" t="s">
        <v>34</v>
      </c>
      <c r="F268" t="s">
        <v>153</v>
      </c>
      <c r="G268" t="s">
        <v>100</v>
      </c>
      <c r="H268" t="s">
        <v>129</v>
      </c>
      <c r="I268" t="s">
        <v>79</v>
      </c>
      <c r="J268" t="s">
        <v>597</v>
      </c>
      <c r="K268">
        <v>2023</v>
      </c>
      <c r="L268">
        <v>1</v>
      </c>
      <c r="M268">
        <v>16</v>
      </c>
      <c r="N268" t="s">
        <v>29</v>
      </c>
      <c r="O268">
        <v>4</v>
      </c>
      <c r="P268">
        <v>1</v>
      </c>
      <c r="Q268" t="s">
        <v>31</v>
      </c>
      <c r="R268">
        <v>11</v>
      </c>
      <c r="S268">
        <v>65</v>
      </c>
      <c r="T268">
        <v>58167</v>
      </c>
      <c r="U268">
        <v>8300</v>
      </c>
      <c r="V268">
        <v>10.199999999999999</v>
      </c>
      <c r="W268" t="s">
        <v>31</v>
      </c>
    </row>
    <row r="269" spans="1:23" x14ac:dyDescent="0.3">
      <c r="A269" t="s">
        <v>598</v>
      </c>
      <c r="B269" t="s">
        <v>2004</v>
      </c>
      <c r="C269">
        <v>39</v>
      </c>
      <c r="D269" t="s">
        <v>33</v>
      </c>
      <c r="E269" t="s">
        <v>34</v>
      </c>
      <c r="F269" t="s">
        <v>42</v>
      </c>
      <c r="G269" t="s">
        <v>117</v>
      </c>
      <c r="H269" t="s">
        <v>298</v>
      </c>
      <c r="I269" t="s">
        <v>27</v>
      </c>
      <c r="J269" t="s">
        <v>599</v>
      </c>
      <c r="K269">
        <v>2021</v>
      </c>
      <c r="L269">
        <v>3</v>
      </c>
      <c r="M269">
        <v>15</v>
      </c>
      <c r="N269" t="s">
        <v>29</v>
      </c>
      <c r="O269">
        <v>1</v>
      </c>
      <c r="P269">
        <v>5</v>
      </c>
      <c r="Q269" t="s">
        <v>30</v>
      </c>
      <c r="R269">
        <v>6</v>
      </c>
      <c r="S269">
        <v>80</v>
      </c>
      <c r="T269">
        <v>58466</v>
      </c>
      <c r="U269">
        <v>6800</v>
      </c>
      <c r="V269">
        <v>13.9</v>
      </c>
      <c r="W269" t="s">
        <v>31</v>
      </c>
    </row>
    <row r="270" spans="1:23" x14ac:dyDescent="0.3">
      <c r="A270" t="s">
        <v>600</v>
      </c>
      <c r="B270" t="s">
        <v>1895</v>
      </c>
      <c r="C270">
        <v>37</v>
      </c>
      <c r="D270" t="s">
        <v>33</v>
      </c>
      <c r="E270" t="s">
        <v>34</v>
      </c>
      <c r="F270" t="s">
        <v>42</v>
      </c>
      <c r="G270" t="s">
        <v>25</v>
      </c>
      <c r="H270" t="s">
        <v>205</v>
      </c>
      <c r="I270" t="s">
        <v>27</v>
      </c>
      <c r="J270" t="s">
        <v>601</v>
      </c>
      <c r="K270">
        <v>2022</v>
      </c>
      <c r="L270">
        <v>2</v>
      </c>
      <c r="M270">
        <v>11</v>
      </c>
      <c r="N270" t="s">
        <v>98</v>
      </c>
      <c r="O270">
        <v>4</v>
      </c>
      <c r="P270">
        <v>4</v>
      </c>
      <c r="Q270" t="s">
        <v>30</v>
      </c>
      <c r="R270">
        <v>10</v>
      </c>
      <c r="S270">
        <v>20</v>
      </c>
      <c r="T270">
        <v>100741</v>
      </c>
      <c r="U270">
        <v>5900</v>
      </c>
      <c r="V270">
        <v>10</v>
      </c>
      <c r="W270" t="s">
        <v>31</v>
      </c>
    </row>
    <row r="271" spans="1:23" x14ac:dyDescent="0.3">
      <c r="A271" t="s">
        <v>602</v>
      </c>
      <c r="B271" t="s">
        <v>1875</v>
      </c>
      <c r="C271">
        <v>47</v>
      </c>
      <c r="D271" t="s">
        <v>41</v>
      </c>
      <c r="E271" t="s">
        <v>71</v>
      </c>
      <c r="F271" t="s">
        <v>137</v>
      </c>
      <c r="G271" t="s">
        <v>36</v>
      </c>
      <c r="H271" t="s">
        <v>76</v>
      </c>
      <c r="I271" t="s">
        <v>27</v>
      </c>
      <c r="J271" t="s">
        <v>603</v>
      </c>
      <c r="K271">
        <v>2022</v>
      </c>
      <c r="L271">
        <v>2</v>
      </c>
      <c r="M271">
        <v>17</v>
      </c>
      <c r="N271" t="s">
        <v>98</v>
      </c>
      <c r="O271">
        <v>3</v>
      </c>
      <c r="P271">
        <v>3</v>
      </c>
      <c r="Q271" t="s">
        <v>31</v>
      </c>
      <c r="R271">
        <v>4</v>
      </c>
      <c r="S271">
        <v>56</v>
      </c>
      <c r="T271">
        <v>91023</v>
      </c>
      <c r="U271">
        <v>5400</v>
      </c>
      <c r="V271">
        <v>8.5</v>
      </c>
      <c r="W271" t="s">
        <v>30</v>
      </c>
    </row>
    <row r="272" spans="1:23" x14ac:dyDescent="0.3">
      <c r="A272" t="s">
        <v>604</v>
      </c>
      <c r="B272" t="s">
        <v>1863</v>
      </c>
      <c r="C272">
        <v>30</v>
      </c>
      <c r="D272" t="s">
        <v>41</v>
      </c>
      <c r="E272" t="s">
        <v>34</v>
      </c>
      <c r="F272" t="s">
        <v>51</v>
      </c>
      <c r="G272" t="s">
        <v>52</v>
      </c>
      <c r="H272" t="s">
        <v>208</v>
      </c>
      <c r="I272" t="s">
        <v>27</v>
      </c>
      <c r="J272" t="s">
        <v>605</v>
      </c>
      <c r="K272">
        <v>2021</v>
      </c>
      <c r="L272">
        <v>3</v>
      </c>
      <c r="M272">
        <v>5</v>
      </c>
      <c r="N272" t="s">
        <v>85</v>
      </c>
      <c r="O272">
        <v>1</v>
      </c>
      <c r="P272">
        <v>2</v>
      </c>
      <c r="Q272" t="s">
        <v>30</v>
      </c>
      <c r="R272">
        <v>3</v>
      </c>
      <c r="S272">
        <v>4</v>
      </c>
      <c r="T272">
        <v>58752</v>
      </c>
      <c r="U272">
        <v>9800</v>
      </c>
      <c r="V272">
        <v>11.3</v>
      </c>
      <c r="W272" t="s">
        <v>31</v>
      </c>
    </row>
    <row r="273" spans="1:23" x14ac:dyDescent="0.3">
      <c r="A273" t="s">
        <v>606</v>
      </c>
      <c r="B273" t="s">
        <v>1812</v>
      </c>
      <c r="C273">
        <v>24</v>
      </c>
      <c r="D273" t="s">
        <v>41</v>
      </c>
      <c r="E273" t="s">
        <v>61</v>
      </c>
      <c r="F273" t="s">
        <v>47</v>
      </c>
      <c r="G273" t="s">
        <v>43</v>
      </c>
      <c r="H273" t="s">
        <v>72</v>
      </c>
      <c r="I273" t="s">
        <v>65</v>
      </c>
      <c r="J273" t="s">
        <v>607</v>
      </c>
      <c r="K273">
        <v>2021</v>
      </c>
      <c r="L273">
        <v>3</v>
      </c>
      <c r="M273">
        <v>1</v>
      </c>
      <c r="N273" t="s">
        <v>29</v>
      </c>
      <c r="O273">
        <v>3</v>
      </c>
      <c r="P273">
        <v>3</v>
      </c>
      <c r="Q273" t="s">
        <v>30</v>
      </c>
      <c r="R273">
        <v>5</v>
      </c>
      <c r="S273">
        <v>64</v>
      </c>
      <c r="T273">
        <v>96922</v>
      </c>
      <c r="U273">
        <v>10200</v>
      </c>
      <c r="V273">
        <v>11</v>
      </c>
      <c r="W273" t="s">
        <v>30</v>
      </c>
    </row>
    <row r="274" spans="1:23" x14ac:dyDescent="0.3">
      <c r="A274" t="s">
        <v>608</v>
      </c>
      <c r="B274" t="s">
        <v>2005</v>
      </c>
      <c r="C274">
        <v>33</v>
      </c>
      <c r="D274" t="s">
        <v>41</v>
      </c>
      <c r="E274" t="s">
        <v>34</v>
      </c>
      <c r="F274" t="s">
        <v>51</v>
      </c>
      <c r="G274" t="s">
        <v>25</v>
      </c>
      <c r="H274" t="s">
        <v>205</v>
      </c>
      <c r="I274" t="s">
        <v>27</v>
      </c>
      <c r="J274" t="s">
        <v>609</v>
      </c>
      <c r="K274">
        <v>2021</v>
      </c>
      <c r="L274">
        <v>3</v>
      </c>
      <c r="M274">
        <v>7</v>
      </c>
      <c r="N274" t="s">
        <v>29</v>
      </c>
      <c r="O274">
        <v>5</v>
      </c>
      <c r="P274">
        <v>2</v>
      </c>
      <c r="Q274" t="s">
        <v>31</v>
      </c>
      <c r="R274">
        <v>14</v>
      </c>
      <c r="S274">
        <v>13</v>
      </c>
      <c r="T274">
        <v>104415</v>
      </c>
      <c r="U274">
        <v>14900</v>
      </c>
      <c r="V274">
        <v>4.2</v>
      </c>
      <c r="W274" t="s">
        <v>31</v>
      </c>
    </row>
    <row r="275" spans="1:23" x14ac:dyDescent="0.3">
      <c r="A275" t="s">
        <v>610</v>
      </c>
      <c r="B275" t="s">
        <v>1855</v>
      </c>
      <c r="C275">
        <v>37</v>
      </c>
      <c r="D275" t="s">
        <v>33</v>
      </c>
      <c r="E275" t="s">
        <v>61</v>
      </c>
      <c r="F275" t="s">
        <v>42</v>
      </c>
      <c r="G275" t="s">
        <v>117</v>
      </c>
      <c r="H275" t="s">
        <v>198</v>
      </c>
      <c r="I275" t="s">
        <v>27</v>
      </c>
      <c r="J275" t="s">
        <v>611</v>
      </c>
      <c r="K275">
        <v>2022</v>
      </c>
      <c r="L275">
        <v>2</v>
      </c>
      <c r="M275">
        <v>14</v>
      </c>
      <c r="N275" t="s">
        <v>85</v>
      </c>
      <c r="O275">
        <v>1</v>
      </c>
      <c r="P275">
        <v>3</v>
      </c>
      <c r="Q275" t="s">
        <v>31</v>
      </c>
      <c r="R275">
        <v>15</v>
      </c>
      <c r="S275">
        <v>14</v>
      </c>
      <c r="T275">
        <v>75596</v>
      </c>
      <c r="U275">
        <v>12800</v>
      </c>
      <c r="V275">
        <v>4.5999999999999996</v>
      </c>
      <c r="W275" t="s">
        <v>31</v>
      </c>
    </row>
    <row r="276" spans="1:23" x14ac:dyDescent="0.3">
      <c r="A276" t="s">
        <v>612</v>
      </c>
      <c r="B276" t="s">
        <v>1833</v>
      </c>
      <c r="C276">
        <v>40</v>
      </c>
      <c r="D276" t="s">
        <v>41</v>
      </c>
      <c r="E276" t="s">
        <v>71</v>
      </c>
      <c r="F276" t="s">
        <v>24</v>
      </c>
      <c r="G276" t="s">
        <v>36</v>
      </c>
      <c r="H276" t="s">
        <v>89</v>
      </c>
      <c r="I276" t="s">
        <v>27</v>
      </c>
      <c r="J276" t="s">
        <v>613</v>
      </c>
      <c r="K276">
        <v>2023</v>
      </c>
      <c r="L276">
        <v>1</v>
      </c>
      <c r="M276">
        <v>15</v>
      </c>
      <c r="N276" t="s">
        <v>39</v>
      </c>
      <c r="O276">
        <v>4</v>
      </c>
      <c r="P276">
        <v>1</v>
      </c>
      <c r="Q276" t="s">
        <v>31</v>
      </c>
      <c r="R276">
        <v>12</v>
      </c>
      <c r="S276">
        <v>56</v>
      </c>
      <c r="T276">
        <v>64044</v>
      </c>
      <c r="U276">
        <v>1900</v>
      </c>
      <c r="V276">
        <v>13.3</v>
      </c>
      <c r="W276" t="s">
        <v>31</v>
      </c>
    </row>
    <row r="277" spans="1:23" x14ac:dyDescent="0.3">
      <c r="A277" t="s">
        <v>614</v>
      </c>
      <c r="B277" t="s">
        <v>1919</v>
      </c>
      <c r="C277">
        <v>30</v>
      </c>
      <c r="D277" t="s">
        <v>41</v>
      </c>
      <c r="E277" t="s">
        <v>23</v>
      </c>
      <c r="F277" t="s">
        <v>51</v>
      </c>
      <c r="G277" t="s">
        <v>36</v>
      </c>
      <c r="H277" t="s">
        <v>76</v>
      </c>
      <c r="I277" t="s">
        <v>27</v>
      </c>
      <c r="J277" t="s">
        <v>201</v>
      </c>
      <c r="K277">
        <v>2021</v>
      </c>
      <c r="L277">
        <v>3</v>
      </c>
      <c r="M277">
        <v>3</v>
      </c>
      <c r="N277" t="s">
        <v>29</v>
      </c>
      <c r="O277">
        <v>5</v>
      </c>
      <c r="P277">
        <v>5</v>
      </c>
      <c r="Q277" t="s">
        <v>31</v>
      </c>
      <c r="R277">
        <v>8</v>
      </c>
      <c r="S277">
        <v>51</v>
      </c>
      <c r="T277">
        <v>67192</v>
      </c>
      <c r="U277">
        <v>9200</v>
      </c>
      <c r="V277">
        <v>7.9</v>
      </c>
      <c r="W277" t="s">
        <v>31</v>
      </c>
    </row>
    <row r="278" spans="1:23" x14ac:dyDescent="0.3">
      <c r="A278" t="s">
        <v>615</v>
      </c>
      <c r="B278" t="s">
        <v>2006</v>
      </c>
      <c r="C278">
        <v>34</v>
      </c>
      <c r="D278" t="s">
        <v>41</v>
      </c>
      <c r="E278" t="s">
        <v>34</v>
      </c>
      <c r="F278" t="s">
        <v>57</v>
      </c>
      <c r="G278" t="s">
        <v>36</v>
      </c>
      <c r="H278" t="s">
        <v>68</v>
      </c>
      <c r="I278" t="s">
        <v>27</v>
      </c>
      <c r="J278" t="s">
        <v>616</v>
      </c>
      <c r="K278">
        <v>2024</v>
      </c>
      <c r="L278">
        <v>0</v>
      </c>
      <c r="M278">
        <v>5</v>
      </c>
      <c r="N278" t="s">
        <v>29</v>
      </c>
      <c r="O278">
        <v>1</v>
      </c>
      <c r="P278">
        <v>2</v>
      </c>
      <c r="Q278" t="s">
        <v>31</v>
      </c>
      <c r="R278">
        <v>12</v>
      </c>
      <c r="S278">
        <v>77</v>
      </c>
      <c r="T278">
        <v>61429</v>
      </c>
      <c r="U278">
        <v>6600</v>
      </c>
      <c r="V278">
        <v>14.3</v>
      </c>
      <c r="W278" t="s">
        <v>30</v>
      </c>
    </row>
    <row r="279" spans="1:23" x14ac:dyDescent="0.3">
      <c r="A279" t="s">
        <v>617</v>
      </c>
      <c r="B279" t="s">
        <v>1886</v>
      </c>
      <c r="C279">
        <v>46</v>
      </c>
      <c r="D279" t="s">
        <v>41</v>
      </c>
      <c r="E279" t="s">
        <v>61</v>
      </c>
      <c r="F279" t="s">
        <v>42</v>
      </c>
      <c r="G279" t="s">
        <v>100</v>
      </c>
      <c r="H279" t="s">
        <v>101</v>
      </c>
      <c r="I279" t="s">
        <v>27</v>
      </c>
      <c r="J279" t="s">
        <v>618</v>
      </c>
      <c r="K279">
        <v>2021</v>
      </c>
      <c r="L279">
        <v>3</v>
      </c>
      <c r="M279">
        <v>17</v>
      </c>
      <c r="N279" t="s">
        <v>29</v>
      </c>
      <c r="O279">
        <v>1</v>
      </c>
      <c r="P279">
        <v>4</v>
      </c>
      <c r="Q279" t="s">
        <v>31</v>
      </c>
      <c r="R279">
        <v>3</v>
      </c>
      <c r="S279">
        <v>49</v>
      </c>
      <c r="T279">
        <v>53233</v>
      </c>
      <c r="U279">
        <v>6400</v>
      </c>
      <c r="V279">
        <v>9.1</v>
      </c>
      <c r="W279" t="s">
        <v>31</v>
      </c>
    </row>
    <row r="280" spans="1:23" x14ac:dyDescent="0.3">
      <c r="A280" t="s">
        <v>619</v>
      </c>
      <c r="B280" t="s">
        <v>1862</v>
      </c>
      <c r="C280">
        <v>36</v>
      </c>
      <c r="D280" t="s">
        <v>41</v>
      </c>
      <c r="E280" t="s">
        <v>71</v>
      </c>
      <c r="F280" t="s">
        <v>57</v>
      </c>
      <c r="G280" t="s">
        <v>43</v>
      </c>
      <c r="H280" t="s">
        <v>48</v>
      </c>
      <c r="I280" t="s">
        <v>27</v>
      </c>
      <c r="J280" t="s">
        <v>555</v>
      </c>
      <c r="K280">
        <v>2024</v>
      </c>
      <c r="L280">
        <v>0</v>
      </c>
      <c r="M280">
        <v>6</v>
      </c>
      <c r="N280" t="s">
        <v>98</v>
      </c>
      <c r="O280">
        <v>4</v>
      </c>
      <c r="P280">
        <v>5</v>
      </c>
      <c r="Q280" t="s">
        <v>31</v>
      </c>
      <c r="R280">
        <v>21</v>
      </c>
      <c r="S280">
        <v>69</v>
      </c>
      <c r="T280">
        <v>109720</v>
      </c>
      <c r="U280">
        <v>6600</v>
      </c>
      <c r="V280">
        <v>8.1999999999999993</v>
      </c>
      <c r="W280" t="s">
        <v>31</v>
      </c>
    </row>
    <row r="281" spans="1:23" x14ac:dyDescent="0.3">
      <c r="A281" t="s">
        <v>620</v>
      </c>
      <c r="B281" t="s">
        <v>1839</v>
      </c>
      <c r="C281">
        <v>44</v>
      </c>
      <c r="D281" t="s">
        <v>41</v>
      </c>
      <c r="E281" t="s">
        <v>71</v>
      </c>
      <c r="F281" t="s">
        <v>24</v>
      </c>
      <c r="G281" t="s">
        <v>100</v>
      </c>
      <c r="H281" t="s">
        <v>129</v>
      </c>
      <c r="I281" t="s">
        <v>27</v>
      </c>
      <c r="J281" t="s">
        <v>621</v>
      </c>
      <c r="K281">
        <v>2021</v>
      </c>
      <c r="L281">
        <v>3</v>
      </c>
      <c r="M281">
        <v>16</v>
      </c>
      <c r="N281" t="s">
        <v>98</v>
      </c>
      <c r="O281">
        <v>5</v>
      </c>
      <c r="P281">
        <v>1</v>
      </c>
      <c r="Q281" t="s">
        <v>30</v>
      </c>
      <c r="R281">
        <v>24</v>
      </c>
      <c r="S281">
        <v>80</v>
      </c>
      <c r="T281">
        <v>63118</v>
      </c>
      <c r="U281">
        <v>4000</v>
      </c>
      <c r="V281">
        <v>3.7</v>
      </c>
      <c r="W281" t="s">
        <v>31</v>
      </c>
    </row>
    <row r="282" spans="1:23" x14ac:dyDescent="0.3">
      <c r="A282" t="s">
        <v>622</v>
      </c>
      <c r="B282" t="s">
        <v>1859</v>
      </c>
      <c r="C282">
        <v>27</v>
      </c>
      <c r="D282" t="s">
        <v>41</v>
      </c>
      <c r="E282" t="s">
        <v>34</v>
      </c>
      <c r="F282" t="s">
        <v>35</v>
      </c>
      <c r="G282" t="s">
        <v>25</v>
      </c>
      <c r="H282" t="s">
        <v>58</v>
      </c>
      <c r="I282" t="s">
        <v>27</v>
      </c>
      <c r="J282" t="s">
        <v>148</v>
      </c>
      <c r="K282">
        <v>2023</v>
      </c>
      <c r="L282">
        <v>1</v>
      </c>
      <c r="M282">
        <v>2</v>
      </c>
      <c r="N282" t="s">
        <v>29</v>
      </c>
      <c r="O282">
        <v>3</v>
      </c>
      <c r="P282">
        <v>1</v>
      </c>
      <c r="Q282" t="s">
        <v>30</v>
      </c>
      <c r="R282">
        <v>14</v>
      </c>
      <c r="S282">
        <v>54</v>
      </c>
      <c r="T282">
        <v>97472</v>
      </c>
      <c r="U282">
        <v>9800</v>
      </c>
      <c r="V282">
        <v>11.3</v>
      </c>
      <c r="W282" t="s">
        <v>31</v>
      </c>
    </row>
    <row r="283" spans="1:23" x14ac:dyDescent="0.3">
      <c r="A283" t="s">
        <v>623</v>
      </c>
      <c r="B283" t="s">
        <v>2007</v>
      </c>
      <c r="C283">
        <v>47</v>
      </c>
      <c r="D283" t="s">
        <v>41</v>
      </c>
      <c r="E283" t="s">
        <v>34</v>
      </c>
      <c r="F283" t="s">
        <v>24</v>
      </c>
      <c r="G283" t="s">
        <v>43</v>
      </c>
      <c r="H283" t="s">
        <v>48</v>
      </c>
      <c r="I283" t="s">
        <v>27</v>
      </c>
      <c r="J283" t="s">
        <v>624</v>
      </c>
      <c r="K283">
        <v>2021</v>
      </c>
      <c r="L283">
        <v>3</v>
      </c>
      <c r="M283">
        <v>19</v>
      </c>
      <c r="N283" t="s">
        <v>98</v>
      </c>
      <c r="O283">
        <v>3</v>
      </c>
      <c r="P283">
        <v>3</v>
      </c>
      <c r="Q283" t="s">
        <v>31</v>
      </c>
      <c r="R283">
        <v>13</v>
      </c>
      <c r="S283">
        <v>25</v>
      </c>
      <c r="T283">
        <v>82809</v>
      </c>
      <c r="U283">
        <v>4900</v>
      </c>
      <c r="V283">
        <v>11.1</v>
      </c>
      <c r="W283" t="s">
        <v>31</v>
      </c>
    </row>
    <row r="284" spans="1:23" x14ac:dyDescent="0.3">
      <c r="A284" t="s">
        <v>625</v>
      </c>
      <c r="B284" t="s">
        <v>2008</v>
      </c>
      <c r="C284">
        <v>28</v>
      </c>
      <c r="D284" t="s">
        <v>33</v>
      </c>
      <c r="E284" t="s">
        <v>23</v>
      </c>
      <c r="F284" t="s">
        <v>62</v>
      </c>
      <c r="G284" t="s">
        <v>25</v>
      </c>
      <c r="H284" t="s">
        <v>110</v>
      </c>
      <c r="I284" t="s">
        <v>27</v>
      </c>
      <c r="J284" t="s">
        <v>626</v>
      </c>
      <c r="K284">
        <v>2022</v>
      </c>
      <c r="L284">
        <v>2</v>
      </c>
      <c r="M284">
        <v>2</v>
      </c>
      <c r="N284" t="s">
        <v>98</v>
      </c>
      <c r="O284">
        <v>1</v>
      </c>
      <c r="P284">
        <v>5</v>
      </c>
      <c r="Q284" t="s">
        <v>31</v>
      </c>
      <c r="R284">
        <v>16</v>
      </c>
      <c r="S284">
        <v>60</v>
      </c>
      <c r="T284">
        <v>81347</v>
      </c>
      <c r="U284">
        <v>6000</v>
      </c>
      <c r="V284">
        <v>14.5</v>
      </c>
      <c r="W284" t="s">
        <v>31</v>
      </c>
    </row>
    <row r="285" spans="1:23" x14ac:dyDescent="0.3">
      <c r="A285" t="s">
        <v>627</v>
      </c>
      <c r="B285" t="s">
        <v>1840</v>
      </c>
      <c r="C285">
        <v>38</v>
      </c>
      <c r="D285" t="s">
        <v>41</v>
      </c>
      <c r="E285" t="s">
        <v>71</v>
      </c>
      <c r="F285" t="s">
        <v>35</v>
      </c>
      <c r="G285" t="s">
        <v>43</v>
      </c>
      <c r="H285" t="s">
        <v>48</v>
      </c>
      <c r="I285" t="s">
        <v>79</v>
      </c>
      <c r="J285" t="s">
        <v>371</v>
      </c>
      <c r="K285">
        <v>2023</v>
      </c>
      <c r="L285">
        <v>1</v>
      </c>
      <c r="M285">
        <v>10</v>
      </c>
      <c r="N285" t="s">
        <v>29</v>
      </c>
      <c r="O285">
        <v>5</v>
      </c>
      <c r="P285">
        <v>2</v>
      </c>
      <c r="Q285" t="s">
        <v>31</v>
      </c>
      <c r="R285">
        <v>18</v>
      </c>
      <c r="S285">
        <v>63</v>
      </c>
      <c r="T285">
        <v>111071</v>
      </c>
      <c r="U285">
        <v>12800</v>
      </c>
      <c r="V285">
        <v>10.5</v>
      </c>
      <c r="W285" t="s">
        <v>31</v>
      </c>
    </row>
    <row r="286" spans="1:23" x14ac:dyDescent="0.3">
      <c r="A286" t="s">
        <v>628</v>
      </c>
      <c r="B286" t="s">
        <v>2009</v>
      </c>
      <c r="C286">
        <v>46</v>
      </c>
      <c r="D286" t="s">
        <v>33</v>
      </c>
      <c r="E286" t="s">
        <v>56</v>
      </c>
      <c r="F286" t="s">
        <v>47</v>
      </c>
      <c r="G286" t="s">
        <v>82</v>
      </c>
      <c r="H286" t="s">
        <v>83</v>
      </c>
      <c r="I286" t="s">
        <v>79</v>
      </c>
      <c r="J286" t="s">
        <v>253</v>
      </c>
      <c r="K286">
        <v>2024</v>
      </c>
      <c r="L286">
        <v>0</v>
      </c>
      <c r="M286">
        <v>18</v>
      </c>
      <c r="N286" t="s">
        <v>85</v>
      </c>
      <c r="O286">
        <v>4</v>
      </c>
      <c r="P286">
        <v>3</v>
      </c>
      <c r="Q286" t="s">
        <v>31</v>
      </c>
      <c r="R286">
        <v>2</v>
      </c>
      <c r="S286">
        <v>26</v>
      </c>
      <c r="T286">
        <v>86075</v>
      </c>
      <c r="U286">
        <v>15200</v>
      </c>
      <c r="V286">
        <v>8.5</v>
      </c>
      <c r="W286" t="s">
        <v>31</v>
      </c>
    </row>
    <row r="287" spans="1:23" x14ac:dyDescent="0.3">
      <c r="A287" t="s">
        <v>629</v>
      </c>
      <c r="B287" t="s">
        <v>2010</v>
      </c>
      <c r="C287">
        <v>45</v>
      </c>
      <c r="D287" t="s">
        <v>41</v>
      </c>
      <c r="E287" t="s">
        <v>34</v>
      </c>
      <c r="F287" t="s">
        <v>153</v>
      </c>
      <c r="G287" t="s">
        <v>63</v>
      </c>
      <c r="H287" t="s">
        <v>225</v>
      </c>
      <c r="I287" t="s">
        <v>27</v>
      </c>
      <c r="J287" t="s">
        <v>630</v>
      </c>
      <c r="K287">
        <v>2022</v>
      </c>
      <c r="L287">
        <v>2</v>
      </c>
      <c r="M287">
        <v>20</v>
      </c>
      <c r="N287" t="s">
        <v>85</v>
      </c>
      <c r="O287">
        <v>1</v>
      </c>
      <c r="P287">
        <v>2</v>
      </c>
      <c r="Q287" t="s">
        <v>31</v>
      </c>
      <c r="R287">
        <v>5</v>
      </c>
      <c r="S287">
        <v>34</v>
      </c>
      <c r="T287">
        <v>38721</v>
      </c>
      <c r="U287">
        <v>6300</v>
      </c>
      <c r="V287">
        <v>12.6</v>
      </c>
      <c r="W287" t="s">
        <v>31</v>
      </c>
    </row>
    <row r="288" spans="1:23" x14ac:dyDescent="0.3">
      <c r="A288" t="s">
        <v>631</v>
      </c>
      <c r="B288" t="s">
        <v>2011</v>
      </c>
      <c r="C288">
        <v>28</v>
      </c>
      <c r="D288" t="s">
        <v>41</v>
      </c>
      <c r="E288" t="s">
        <v>23</v>
      </c>
      <c r="F288" t="s">
        <v>57</v>
      </c>
      <c r="G288" t="s">
        <v>52</v>
      </c>
      <c r="H288" t="s">
        <v>53</v>
      </c>
      <c r="I288" t="s">
        <v>65</v>
      </c>
      <c r="J288" t="s">
        <v>632</v>
      </c>
      <c r="K288">
        <v>2023</v>
      </c>
      <c r="L288">
        <v>1</v>
      </c>
      <c r="M288">
        <v>6</v>
      </c>
      <c r="N288" t="s">
        <v>98</v>
      </c>
      <c r="O288">
        <v>4</v>
      </c>
      <c r="P288">
        <v>3</v>
      </c>
      <c r="Q288" t="s">
        <v>30</v>
      </c>
      <c r="R288">
        <v>21</v>
      </c>
      <c r="S288">
        <v>11</v>
      </c>
      <c r="T288">
        <v>76840</v>
      </c>
      <c r="U288">
        <v>4400</v>
      </c>
      <c r="V288">
        <v>13.8</v>
      </c>
      <c r="W288" t="s">
        <v>31</v>
      </c>
    </row>
    <row r="289" spans="1:23" x14ac:dyDescent="0.3">
      <c r="A289" t="s">
        <v>633</v>
      </c>
      <c r="B289" t="s">
        <v>1933</v>
      </c>
      <c r="C289">
        <v>49</v>
      </c>
      <c r="D289" t="s">
        <v>33</v>
      </c>
      <c r="E289" t="s">
        <v>56</v>
      </c>
      <c r="F289" t="s">
        <v>57</v>
      </c>
      <c r="G289" t="s">
        <v>36</v>
      </c>
      <c r="H289" t="s">
        <v>89</v>
      </c>
      <c r="I289" t="s">
        <v>27</v>
      </c>
      <c r="J289" t="s">
        <v>634</v>
      </c>
      <c r="K289">
        <v>2022</v>
      </c>
      <c r="L289">
        <v>2</v>
      </c>
      <c r="M289">
        <v>19</v>
      </c>
      <c r="N289" t="s">
        <v>98</v>
      </c>
      <c r="O289">
        <v>1</v>
      </c>
      <c r="P289">
        <v>3</v>
      </c>
      <c r="Q289" t="s">
        <v>31</v>
      </c>
      <c r="R289">
        <v>10</v>
      </c>
      <c r="S289">
        <v>74</v>
      </c>
      <c r="T289">
        <v>79207</v>
      </c>
      <c r="U289">
        <v>5700</v>
      </c>
      <c r="V289">
        <v>12.3</v>
      </c>
      <c r="W289" t="s">
        <v>31</v>
      </c>
    </row>
    <row r="290" spans="1:23" x14ac:dyDescent="0.3">
      <c r="A290" t="s">
        <v>635</v>
      </c>
      <c r="B290" t="s">
        <v>1845</v>
      </c>
      <c r="C290">
        <v>28</v>
      </c>
      <c r="D290" t="s">
        <v>33</v>
      </c>
      <c r="E290" t="s">
        <v>34</v>
      </c>
      <c r="F290" t="s">
        <v>57</v>
      </c>
      <c r="G290" t="s">
        <v>43</v>
      </c>
      <c r="H290" t="s">
        <v>48</v>
      </c>
      <c r="I290" t="s">
        <v>27</v>
      </c>
      <c r="J290" t="s">
        <v>636</v>
      </c>
      <c r="K290">
        <v>2024</v>
      </c>
      <c r="L290">
        <v>0</v>
      </c>
      <c r="M290">
        <v>4</v>
      </c>
      <c r="N290" t="s">
        <v>29</v>
      </c>
      <c r="O290">
        <v>4</v>
      </c>
      <c r="P290">
        <v>4</v>
      </c>
      <c r="Q290" t="s">
        <v>31</v>
      </c>
      <c r="R290">
        <v>21</v>
      </c>
      <c r="S290">
        <v>31</v>
      </c>
      <c r="T290">
        <v>105985</v>
      </c>
      <c r="U290">
        <v>11500</v>
      </c>
      <c r="V290">
        <v>10.1</v>
      </c>
      <c r="W290" t="s">
        <v>31</v>
      </c>
    </row>
    <row r="291" spans="1:23" x14ac:dyDescent="0.3">
      <c r="A291" t="s">
        <v>637</v>
      </c>
      <c r="B291" t="s">
        <v>2012</v>
      </c>
      <c r="C291">
        <v>38</v>
      </c>
      <c r="D291" t="s">
        <v>33</v>
      </c>
      <c r="E291" t="s">
        <v>34</v>
      </c>
      <c r="F291" t="s">
        <v>75</v>
      </c>
      <c r="G291" t="s">
        <v>43</v>
      </c>
      <c r="H291" t="s">
        <v>96</v>
      </c>
      <c r="I291" t="s">
        <v>27</v>
      </c>
      <c r="J291" t="s">
        <v>638</v>
      </c>
      <c r="K291">
        <v>2023</v>
      </c>
      <c r="L291">
        <v>1</v>
      </c>
      <c r="M291">
        <v>12</v>
      </c>
      <c r="N291" t="s">
        <v>98</v>
      </c>
      <c r="O291">
        <v>4</v>
      </c>
      <c r="P291">
        <v>3</v>
      </c>
      <c r="Q291" t="s">
        <v>31</v>
      </c>
      <c r="R291">
        <v>20</v>
      </c>
      <c r="S291">
        <v>46</v>
      </c>
      <c r="T291">
        <v>74562</v>
      </c>
      <c r="U291">
        <v>5600</v>
      </c>
      <c r="V291">
        <v>14.3</v>
      </c>
      <c r="W291" t="s">
        <v>31</v>
      </c>
    </row>
    <row r="292" spans="1:23" x14ac:dyDescent="0.3">
      <c r="A292" t="s">
        <v>639</v>
      </c>
      <c r="B292" t="s">
        <v>2013</v>
      </c>
      <c r="C292">
        <v>39</v>
      </c>
      <c r="D292" t="s">
        <v>33</v>
      </c>
      <c r="E292" t="s">
        <v>34</v>
      </c>
      <c r="F292" t="s">
        <v>153</v>
      </c>
      <c r="G292" t="s">
        <v>36</v>
      </c>
      <c r="H292" t="s">
        <v>76</v>
      </c>
      <c r="I292" t="s">
        <v>27</v>
      </c>
      <c r="J292" t="s">
        <v>640</v>
      </c>
      <c r="K292">
        <v>2024</v>
      </c>
      <c r="L292">
        <v>0</v>
      </c>
      <c r="M292">
        <v>13</v>
      </c>
      <c r="N292" t="s">
        <v>29</v>
      </c>
      <c r="O292">
        <v>3</v>
      </c>
      <c r="P292">
        <v>1</v>
      </c>
      <c r="Q292" t="s">
        <v>31</v>
      </c>
      <c r="R292">
        <v>24</v>
      </c>
      <c r="S292">
        <v>62</v>
      </c>
      <c r="T292">
        <v>94588</v>
      </c>
      <c r="U292">
        <v>10000</v>
      </c>
      <c r="V292">
        <v>13.7</v>
      </c>
      <c r="W292" t="s">
        <v>31</v>
      </c>
    </row>
    <row r="293" spans="1:23" x14ac:dyDescent="0.3">
      <c r="A293" t="s">
        <v>641</v>
      </c>
      <c r="B293" t="s">
        <v>2014</v>
      </c>
      <c r="C293">
        <v>28</v>
      </c>
      <c r="D293" t="s">
        <v>33</v>
      </c>
      <c r="E293" t="s">
        <v>71</v>
      </c>
      <c r="F293" t="s">
        <v>137</v>
      </c>
      <c r="G293" t="s">
        <v>52</v>
      </c>
      <c r="H293" t="s">
        <v>320</v>
      </c>
      <c r="I293" t="s">
        <v>27</v>
      </c>
      <c r="J293" t="s">
        <v>642</v>
      </c>
      <c r="K293">
        <v>2023</v>
      </c>
      <c r="L293">
        <v>1</v>
      </c>
      <c r="M293">
        <v>4</v>
      </c>
      <c r="N293" t="s">
        <v>85</v>
      </c>
      <c r="O293">
        <v>2</v>
      </c>
      <c r="P293">
        <v>4</v>
      </c>
      <c r="Q293" t="s">
        <v>31</v>
      </c>
      <c r="R293">
        <v>20</v>
      </c>
      <c r="S293">
        <v>17</v>
      </c>
      <c r="T293">
        <v>78183</v>
      </c>
      <c r="U293">
        <v>15100</v>
      </c>
      <c r="V293">
        <v>11.8</v>
      </c>
      <c r="W293" t="s">
        <v>31</v>
      </c>
    </row>
    <row r="294" spans="1:23" x14ac:dyDescent="0.3">
      <c r="A294" t="s">
        <v>643</v>
      </c>
      <c r="B294" t="s">
        <v>1873</v>
      </c>
      <c r="C294">
        <v>28</v>
      </c>
      <c r="D294" t="s">
        <v>41</v>
      </c>
      <c r="E294" t="s">
        <v>34</v>
      </c>
      <c r="F294" t="s">
        <v>24</v>
      </c>
      <c r="G294" t="s">
        <v>25</v>
      </c>
      <c r="H294" t="s">
        <v>26</v>
      </c>
      <c r="I294" t="s">
        <v>27</v>
      </c>
      <c r="J294" t="s">
        <v>644</v>
      </c>
      <c r="K294">
        <v>2023</v>
      </c>
      <c r="L294">
        <v>1</v>
      </c>
      <c r="M294">
        <v>4</v>
      </c>
      <c r="N294" t="s">
        <v>39</v>
      </c>
      <c r="O294">
        <v>2</v>
      </c>
      <c r="P294">
        <v>3</v>
      </c>
      <c r="Q294" t="s">
        <v>31</v>
      </c>
      <c r="R294">
        <v>5</v>
      </c>
      <c r="S294">
        <v>75</v>
      </c>
      <c r="T294">
        <v>101764</v>
      </c>
      <c r="U294">
        <v>3500</v>
      </c>
      <c r="V294">
        <v>12.2</v>
      </c>
      <c r="W294" t="s">
        <v>31</v>
      </c>
    </row>
    <row r="295" spans="1:23" x14ac:dyDescent="0.3">
      <c r="A295" t="s">
        <v>645</v>
      </c>
      <c r="B295" t="s">
        <v>2015</v>
      </c>
      <c r="C295">
        <v>41</v>
      </c>
      <c r="D295" t="s">
        <v>33</v>
      </c>
      <c r="E295" t="s">
        <v>56</v>
      </c>
      <c r="F295" t="s">
        <v>57</v>
      </c>
      <c r="G295" t="s">
        <v>43</v>
      </c>
      <c r="H295" t="s">
        <v>96</v>
      </c>
      <c r="I295" t="s">
        <v>65</v>
      </c>
      <c r="J295" t="s">
        <v>646</v>
      </c>
      <c r="K295">
        <v>2024</v>
      </c>
      <c r="L295">
        <v>0</v>
      </c>
      <c r="M295">
        <v>13</v>
      </c>
      <c r="N295" t="s">
        <v>85</v>
      </c>
      <c r="O295">
        <v>2</v>
      </c>
      <c r="P295">
        <v>3</v>
      </c>
      <c r="Q295" t="s">
        <v>30</v>
      </c>
      <c r="R295">
        <v>22</v>
      </c>
      <c r="S295">
        <v>21</v>
      </c>
      <c r="T295">
        <v>99423</v>
      </c>
      <c r="U295">
        <v>16100</v>
      </c>
      <c r="V295">
        <v>9.6999999999999993</v>
      </c>
      <c r="W295" t="s">
        <v>31</v>
      </c>
    </row>
    <row r="296" spans="1:23" x14ac:dyDescent="0.3">
      <c r="A296" t="s">
        <v>647</v>
      </c>
      <c r="B296" t="s">
        <v>2016</v>
      </c>
      <c r="C296">
        <v>36</v>
      </c>
      <c r="D296" t="s">
        <v>41</v>
      </c>
      <c r="E296" t="s">
        <v>56</v>
      </c>
      <c r="F296" t="s">
        <v>51</v>
      </c>
      <c r="G296" t="s">
        <v>52</v>
      </c>
      <c r="H296" t="s">
        <v>132</v>
      </c>
      <c r="I296" t="s">
        <v>27</v>
      </c>
      <c r="J296" t="s">
        <v>648</v>
      </c>
      <c r="K296">
        <v>2023</v>
      </c>
      <c r="L296">
        <v>1</v>
      </c>
      <c r="M296">
        <v>12</v>
      </c>
      <c r="N296" t="s">
        <v>85</v>
      </c>
      <c r="O296">
        <v>2</v>
      </c>
      <c r="P296">
        <v>2</v>
      </c>
      <c r="Q296" t="s">
        <v>31</v>
      </c>
      <c r="R296">
        <v>8</v>
      </c>
      <c r="S296">
        <v>36</v>
      </c>
      <c r="T296">
        <v>52690</v>
      </c>
      <c r="U296">
        <v>10600</v>
      </c>
      <c r="V296">
        <v>12.3</v>
      </c>
      <c r="W296" t="s">
        <v>31</v>
      </c>
    </row>
    <row r="297" spans="1:23" x14ac:dyDescent="0.3">
      <c r="A297" t="s">
        <v>649</v>
      </c>
      <c r="B297" t="s">
        <v>2017</v>
      </c>
      <c r="C297">
        <v>35</v>
      </c>
      <c r="D297" t="s">
        <v>41</v>
      </c>
      <c r="E297" t="s">
        <v>34</v>
      </c>
      <c r="F297" t="s">
        <v>75</v>
      </c>
      <c r="G297" t="s">
        <v>100</v>
      </c>
      <c r="H297" t="s">
        <v>129</v>
      </c>
      <c r="I297" t="s">
        <v>27</v>
      </c>
      <c r="J297" t="s">
        <v>650</v>
      </c>
      <c r="K297">
        <v>2022</v>
      </c>
      <c r="L297">
        <v>2</v>
      </c>
      <c r="M297">
        <v>10</v>
      </c>
      <c r="N297" t="s">
        <v>98</v>
      </c>
      <c r="O297">
        <v>4</v>
      </c>
      <c r="P297">
        <v>1</v>
      </c>
      <c r="Q297" t="s">
        <v>31</v>
      </c>
      <c r="R297">
        <v>0</v>
      </c>
      <c r="S297">
        <v>60</v>
      </c>
      <c r="T297">
        <v>66773</v>
      </c>
      <c r="U297">
        <v>3800</v>
      </c>
      <c r="V297">
        <v>14.7</v>
      </c>
      <c r="W297" t="s">
        <v>31</v>
      </c>
    </row>
    <row r="298" spans="1:23" x14ac:dyDescent="0.3">
      <c r="A298" t="s">
        <v>651</v>
      </c>
      <c r="B298" t="s">
        <v>2018</v>
      </c>
      <c r="C298">
        <v>40</v>
      </c>
      <c r="D298" t="s">
        <v>33</v>
      </c>
      <c r="E298" t="s">
        <v>34</v>
      </c>
      <c r="F298" t="s">
        <v>62</v>
      </c>
      <c r="G298" t="s">
        <v>43</v>
      </c>
      <c r="H298" t="s">
        <v>44</v>
      </c>
      <c r="I298" t="s">
        <v>27</v>
      </c>
      <c r="J298" t="s">
        <v>652</v>
      </c>
      <c r="K298">
        <v>2022</v>
      </c>
      <c r="L298">
        <v>2</v>
      </c>
      <c r="M298">
        <v>14</v>
      </c>
      <c r="N298" t="s">
        <v>85</v>
      </c>
      <c r="O298">
        <v>1</v>
      </c>
      <c r="P298">
        <v>1</v>
      </c>
      <c r="Q298" t="s">
        <v>31</v>
      </c>
      <c r="R298">
        <v>8</v>
      </c>
      <c r="S298">
        <v>64</v>
      </c>
      <c r="T298">
        <v>77700</v>
      </c>
      <c r="U298">
        <v>18200</v>
      </c>
      <c r="V298">
        <v>8.6999999999999993</v>
      </c>
      <c r="W298" t="s">
        <v>31</v>
      </c>
    </row>
    <row r="299" spans="1:23" x14ac:dyDescent="0.3">
      <c r="A299" t="s">
        <v>653</v>
      </c>
      <c r="B299" t="s">
        <v>1969</v>
      </c>
      <c r="C299">
        <v>26</v>
      </c>
      <c r="D299" t="s">
        <v>41</v>
      </c>
      <c r="E299" t="s">
        <v>34</v>
      </c>
      <c r="F299" t="s">
        <v>153</v>
      </c>
      <c r="G299" t="s">
        <v>36</v>
      </c>
      <c r="H299" t="s">
        <v>89</v>
      </c>
      <c r="I299" t="s">
        <v>27</v>
      </c>
      <c r="J299" t="s">
        <v>654</v>
      </c>
      <c r="K299">
        <v>2023</v>
      </c>
      <c r="L299">
        <v>1</v>
      </c>
      <c r="M299">
        <v>2</v>
      </c>
      <c r="N299" t="s">
        <v>29</v>
      </c>
      <c r="O299">
        <v>1</v>
      </c>
      <c r="P299">
        <v>3</v>
      </c>
      <c r="Q299" t="s">
        <v>31</v>
      </c>
      <c r="R299">
        <v>1</v>
      </c>
      <c r="S299">
        <v>16</v>
      </c>
      <c r="T299">
        <v>78013</v>
      </c>
      <c r="U299">
        <v>8800</v>
      </c>
      <c r="V299">
        <v>8.6</v>
      </c>
      <c r="W299" t="s">
        <v>30</v>
      </c>
    </row>
    <row r="300" spans="1:23" x14ac:dyDescent="0.3">
      <c r="A300" t="s">
        <v>655</v>
      </c>
      <c r="B300" t="s">
        <v>1978</v>
      </c>
      <c r="C300">
        <v>35</v>
      </c>
      <c r="D300" t="s">
        <v>33</v>
      </c>
      <c r="E300" t="s">
        <v>71</v>
      </c>
      <c r="F300" t="s">
        <v>51</v>
      </c>
      <c r="G300" t="s">
        <v>36</v>
      </c>
      <c r="H300" t="s">
        <v>89</v>
      </c>
      <c r="I300" t="s">
        <v>27</v>
      </c>
      <c r="J300" t="s">
        <v>656</v>
      </c>
      <c r="K300">
        <v>2023</v>
      </c>
      <c r="L300">
        <v>1</v>
      </c>
      <c r="M300">
        <v>9</v>
      </c>
      <c r="N300" t="s">
        <v>98</v>
      </c>
      <c r="O300">
        <v>2</v>
      </c>
      <c r="P300">
        <v>1</v>
      </c>
      <c r="Q300" t="s">
        <v>30</v>
      </c>
      <c r="R300">
        <v>7</v>
      </c>
      <c r="S300">
        <v>23</v>
      </c>
      <c r="T300">
        <v>73558</v>
      </c>
      <c r="U300">
        <v>4800</v>
      </c>
      <c r="V300">
        <v>14.9</v>
      </c>
      <c r="W300" t="s">
        <v>31</v>
      </c>
    </row>
    <row r="301" spans="1:23" x14ac:dyDescent="0.3">
      <c r="A301" t="s">
        <v>657</v>
      </c>
      <c r="B301" t="s">
        <v>1800</v>
      </c>
      <c r="C301">
        <v>38</v>
      </c>
      <c r="D301" t="s">
        <v>41</v>
      </c>
      <c r="E301" t="s">
        <v>34</v>
      </c>
      <c r="F301" t="s">
        <v>24</v>
      </c>
      <c r="G301" t="s">
        <v>63</v>
      </c>
      <c r="H301" t="s">
        <v>310</v>
      </c>
      <c r="I301" t="s">
        <v>27</v>
      </c>
      <c r="J301" t="s">
        <v>658</v>
      </c>
      <c r="K301">
        <v>2024</v>
      </c>
      <c r="L301">
        <v>0</v>
      </c>
      <c r="M301">
        <v>16</v>
      </c>
      <c r="N301" t="s">
        <v>29</v>
      </c>
      <c r="O301">
        <v>3</v>
      </c>
      <c r="P301">
        <v>2</v>
      </c>
      <c r="Q301" t="s">
        <v>30</v>
      </c>
      <c r="R301">
        <v>5</v>
      </c>
      <c r="S301">
        <v>65</v>
      </c>
      <c r="T301">
        <v>58233</v>
      </c>
      <c r="U301">
        <v>6900</v>
      </c>
      <c r="V301">
        <v>4.3</v>
      </c>
      <c r="W301" t="s">
        <v>31</v>
      </c>
    </row>
    <row r="302" spans="1:23" x14ac:dyDescent="0.3">
      <c r="A302" t="s">
        <v>659</v>
      </c>
      <c r="B302" t="s">
        <v>2019</v>
      </c>
      <c r="C302">
        <v>41</v>
      </c>
      <c r="D302" t="s">
        <v>33</v>
      </c>
      <c r="E302" t="s">
        <v>34</v>
      </c>
      <c r="F302" t="s">
        <v>57</v>
      </c>
      <c r="G302" t="s">
        <v>63</v>
      </c>
      <c r="H302" t="s">
        <v>337</v>
      </c>
      <c r="I302" t="s">
        <v>27</v>
      </c>
      <c r="J302" t="s">
        <v>660</v>
      </c>
      <c r="K302">
        <v>2022</v>
      </c>
      <c r="L302">
        <v>2</v>
      </c>
      <c r="M302">
        <v>17</v>
      </c>
      <c r="N302" t="s">
        <v>29</v>
      </c>
      <c r="O302">
        <v>5</v>
      </c>
      <c r="P302">
        <v>1</v>
      </c>
      <c r="Q302" t="s">
        <v>30</v>
      </c>
      <c r="R302">
        <v>10</v>
      </c>
      <c r="S302">
        <v>19</v>
      </c>
      <c r="T302">
        <v>37517</v>
      </c>
      <c r="U302">
        <v>4500</v>
      </c>
      <c r="V302">
        <v>4.0999999999999996</v>
      </c>
      <c r="W302" t="s">
        <v>31</v>
      </c>
    </row>
    <row r="303" spans="1:23" x14ac:dyDescent="0.3">
      <c r="A303" t="s">
        <v>661</v>
      </c>
      <c r="B303" t="s">
        <v>2020</v>
      </c>
      <c r="C303">
        <v>31</v>
      </c>
      <c r="D303" t="s">
        <v>41</v>
      </c>
      <c r="E303" t="s">
        <v>34</v>
      </c>
      <c r="F303" t="s">
        <v>62</v>
      </c>
      <c r="G303" t="s">
        <v>82</v>
      </c>
      <c r="H303" t="s">
        <v>286</v>
      </c>
      <c r="I303" t="s">
        <v>27</v>
      </c>
      <c r="J303" t="s">
        <v>662</v>
      </c>
      <c r="K303">
        <v>2024</v>
      </c>
      <c r="L303">
        <v>0</v>
      </c>
      <c r="M303">
        <v>9</v>
      </c>
      <c r="N303" t="s">
        <v>98</v>
      </c>
      <c r="O303">
        <v>1</v>
      </c>
      <c r="P303">
        <v>3</v>
      </c>
      <c r="Q303" t="s">
        <v>31</v>
      </c>
      <c r="R303">
        <v>10</v>
      </c>
      <c r="S303">
        <v>7</v>
      </c>
      <c r="T303">
        <v>47873</v>
      </c>
      <c r="U303">
        <v>4000</v>
      </c>
      <c r="V303">
        <v>6.9</v>
      </c>
      <c r="W303" t="s">
        <v>31</v>
      </c>
    </row>
    <row r="304" spans="1:23" x14ac:dyDescent="0.3">
      <c r="A304" t="s">
        <v>663</v>
      </c>
      <c r="B304" t="s">
        <v>1939</v>
      </c>
      <c r="C304">
        <v>31</v>
      </c>
      <c r="D304" t="s">
        <v>33</v>
      </c>
      <c r="E304" t="s">
        <v>23</v>
      </c>
      <c r="F304" t="s">
        <v>35</v>
      </c>
      <c r="G304" t="s">
        <v>52</v>
      </c>
      <c r="H304" t="s">
        <v>132</v>
      </c>
      <c r="I304" t="s">
        <v>27</v>
      </c>
      <c r="J304" t="s">
        <v>621</v>
      </c>
      <c r="K304">
        <v>2021</v>
      </c>
      <c r="L304">
        <v>3</v>
      </c>
      <c r="M304">
        <v>6</v>
      </c>
      <c r="N304" t="s">
        <v>85</v>
      </c>
      <c r="O304">
        <v>4</v>
      </c>
      <c r="P304">
        <v>4</v>
      </c>
      <c r="Q304" t="s">
        <v>30</v>
      </c>
      <c r="R304">
        <v>23</v>
      </c>
      <c r="S304">
        <v>39</v>
      </c>
      <c r="T304">
        <v>71143</v>
      </c>
      <c r="U304">
        <v>16200</v>
      </c>
      <c r="V304">
        <v>5</v>
      </c>
      <c r="W304" t="s">
        <v>31</v>
      </c>
    </row>
    <row r="305" spans="1:23" x14ac:dyDescent="0.3">
      <c r="A305" t="s">
        <v>664</v>
      </c>
      <c r="B305" t="s">
        <v>2021</v>
      </c>
      <c r="C305">
        <v>45</v>
      </c>
      <c r="D305" t="s">
        <v>41</v>
      </c>
      <c r="E305" t="s">
        <v>56</v>
      </c>
      <c r="F305" t="s">
        <v>35</v>
      </c>
      <c r="G305" t="s">
        <v>100</v>
      </c>
      <c r="H305" t="s">
        <v>145</v>
      </c>
      <c r="I305" t="s">
        <v>27</v>
      </c>
      <c r="J305" t="s">
        <v>665</v>
      </c>
      <c r="K305">
        <v>2023</v>
      </c>
      <c r="L305">
        <v>1</v>
      </c>
      <c r="M305">
        <v>16</v>
      </c>
      <c r="N305" t="s">
        <v>29</v>
      </c>
      <c r="O305">
        <v>4</v>
      </c>
      <c r="P305">
        <v>1</v>
      </c>
      <c r="Q305" t="s">
        <v>31</v>
      </c>
      <c r="R305">
        <v>1</v>
      </c>
      <c r="S305">
        <v>65</v>
      </c>
      <c r="T305">
        <v>71223</v>
      </c>
      <c r="U305">
        <v>8900</v>
      </c>
      <c r="V305">
        <v>4.0999999999999996</v>
      </c>
      <c r="W305" t="s">
        <v>31</v>
      </c>
    </row>
    <row r="306" spans="1:23" x14ac:dyDescent="0.3">
      <c r="A306" t="s">
        <v>666</v>
      </c>
      <c r="B306" t="s">
        <v>2022</v>
      </c>
      <c r="C306">
        <v>40</v>
      </c>
      <c r="D306" t="s">
        <v>22</v>
      </c>
      <c r="E306" t="s">
        <v>34</v>
      </c>
      <c r="F306" t="s">
        <v>47</v>
      </c>
      <c r="G306" t="s">
        <v>36</v>
      </c>
      <c r="H306" t="s">
        <v>68</v>
      </c>
      <c r="I306" t="s">
        <v>79</v>
      </c>
      <c r="J306" t="s">
        <v>667</v>
      </c>
      <c r="K306">
        <v>2022</v>
      </c>
      <c r="L306">
        <v>2</v>
      </c>
      <c r="M306">
        <v>17</v>
      </c>
      <c r="N306" t="s">
        <v>85</v>
      </c>
      <c r="O306">
        <v>5</v>
      </c>
      <c r="P306">
        <v>4</v>
      </c>
      <c r="Q306" t="s">
        <v>31</v>
      </c>
      <c r="R306">
        <v>9</v>
      </c>
      <c r="S306">
        <v>72</v>
      </c>
      <c r="T306">
        <v>73662</v>
      </c>
      <c r="U306">
        <v>16500</v>
      </c>
      <c r="V306">
        <v>6.6</v>
      </c>
      <c r="W306" t="s">
        <v>31</v>
      </c>
    </row>
    <row r="307" spans="1:23" x14ac:dyDescent="0.3">
      <c r="A307" t="s">
        <v>668</v>
      </c>
      <c r="B307" t="s">
        <v>1948</v>
      </c>
      <c r="C307">
        <v>37</v>
      </c>
      <c r="D307" t="s">
        <v>33</v>
      </c>
      <c r="E307" t="s">
        <v>71</v>
      </c>
      <c r="F307" t="s">
        <v>57</v>
      </c>
      <c r="G307" t="s">
        <v>36</v>
      </c>
      <c r="H307" t="s">
        <v>76</v>
      </c>
      <c r="I307" t="s">
        <v>27</v>
      </c>
      <c r="J307" t="s">
        <v>669</v>
      </c>
      <c r="K307">
        <v>2021</v>
      </c>
      <c r="L307">
        <v>3</v>
      </c>
      <c r="M307">
        <v>14</v>
      </c>
      <c r="N307" t="s">
        <v>29</v>
      </c>
      <c r="O307">
        <v>4</v>
      </c>
      <c r="P307">
        <v>2</v>
      </c>
      <c r="Q307" t="s">
        <v>31</v>
      </c>
      <c r="R307">
        <v>5</v>
      </c>
      <c r="S307">
        <v>50</v>
      </c>
      <c r="T307">
        <v>92206</v>
      </c>
      <c r="U307">
        <v>10000</v>
      </c>
      <c r="V307">
        <v>6.1</v>
      </c>
      <c r="W307" t="s">
        <v>30</v>
      </c>
    </row>
    <row r="308" spans="1:23" x14ac:dyDescent="0.3">
      <c r="A308" t="s">
        <v>670</v>
      </c>
      <c r="B308" t="s">
        <v>2023</v>
      </c>
      <c r="C308">
        <v>44</v>
      </c>
      <c r="D308" t="s">
        <v>41</v>
      </c>
      <c r="E308" t="s">
        <v>71</v>
      </c>
      <c r="F308" t="s">
        <v>62</v>
      </c>
      <c r="G308" t="s">
        <v>43</v>
      </c>
      <c r="H308" t="s">
        <v>72</v>
      </c>
      <c r="I308" t="s">
        <v>27</v>
      </c>
      <c r="J308" t="s">
        <v>671</v>
      </c>
      <c r="K308">
        <v>2023</v>
      </c>
      <c r="L308">
        <v>1</v>
      </c>
      <c r="M308">
        <v>15</v>
      </c>
      <c r="N308" t="s">
        <v>29</v>
      </c>
      <c r="O308">
        <v>1</v>
      </c>
      <c r="P308">
        <v>4</v>
      </c>
      <c r="Q308" t="s">
        <v>30</v>
      </c>
      <c r="R308">
        <v>17</v>
      </c>
      <c r="S308">
        <v>2</v>
      </c>
      <c r="T308">
        <v>104743</v>
      </c>
      <c r="U308">
        <v>14700</v>
      </c>
      <c r="V308">
        <v>12.7</v>
      </c>
      <c r="W308" t="s">
        <v>31</v>
      </c>
    </row>
    <row r="309" spans="1:23" x14ac:dyDescent="0.3">
      <c r="A309" t="s">
        <v>672</v>
      </c>
      <c r="B309" t="s">
        <v>1944</v>
      </c>
      <c r="C309">
        <v>42</v>
      </c>
      <c r="D309" t="s">
        <v>41</v>
      </c>
      <c r="E309" t="s">
        <v>34</v>
      </c>
      <c r="F309" t="s">
        <v>35</v>
      </c>
      <c r="G309" t="s">
        <v>63</v>
      </c>
      <c r="H309" t="s">
        <v>310</v>
      </c>
      <c r="I309" t="s">
        <v>27</v>
      </c>
      <c r="J309" t="s">
        <v>673</v>
      </c>
      <c r="K309">
        <v>2024</v>
      </c>
      <c r="L309">
        <v>0</v>
      </c>
      <c r="M309">
        <v>13</v>
      </c>
      <c r="N309" t="s">
        <v>39</v>
      </c>
      <c r="O309">
        <v>2</v>
      </c>
      <c r="P309">
        <v>1</v>
      </c>
      <c r="Q309" t="s">
        <v>31</v>
      </c>
      <c r="R309">
        <v>0</v>
      </c>
      <c r="S309">
        <v>24</v>
      </c>
      <c r="T309">
        <v>61644</v>
      </c>
      <c r="U309">
        <v>1700</v>
      </c>
      <c r="V309">
        <v>11.1</v>
      </c>
      <c r="W309" t="s">
        <v>31</v>
      </c>
    </row>
    <row r="310" spans="1:23" x14ac:dyDescent="0.3">
      <c r="A310" t="s">
        <v>674</v>
      </c>
      <c r="B310" t="s">
        <v>1947</v>
      </c>
      <c r="C310">
        <v>43</v>
      </c>
      <c r="D310" t="s">
        <v>41</v>
      </c>
      <c r="E310" t="s">
        <v>34</v>
      </c>
      <c r="F310" t="s">
        <v>51</v>
      </c>
      <c r="G310" t="s">
        <v>52</v>
      </c>
      <c r="H310" t="s">
        <v>132</v>
      </c>
      <c r="I310" t="s">
        <v>65</v>
      </c>
      <c r="J310" t="s">
        <v>675</v>
      </c>
      <c r="K310">
        <v>2022</v>
      </c>
      <c r="L310">
        <v>2</v>
      </c>
      <c r="M310">
        <v>18</v>
      </c>
      <c r="N310" t="s">
        <v>85</v>
      </c>
      <c r="O310">
        <v>4</v>
      </c>
      <c r="P310">
        <v>1</v>
      </c>
      <c r="Q310" t="s">
        <v>31</v>
      </c>
      <c r="R310">
        <v>14</v>
      </c>
      <c r="S310">
        <v>74</v>
      </c>
      <c r="T310">
        <v>75371</v>
      </c>
      <c r="U310">
        <v>14600</v>
      </c>
      <c r="V310">
        <v>4.4000000000000004</v>
      </c>
      <c r="W310" t="s">
        <v>31</v>
      </c>
    </row>
    <row r="311" spans="1:23" x14ac:dyDescent="0.3">
      <c r="A311" t="s">
        <v>676</v>
      </c>
      <c r="B311" t="s">
        <v>1850</v>
      </c>
      <c r="C311">
        <v>24</v>
      </c>
      <c r="D311" t="s">
        <v>41</v>
      </c>
      <c r="E311" t="s">
        <v>71</v>
      </c>
      <c r="F311" t="s">
        <v>47</v>
      </c>
      <c r="G311" t="s">
        <v>63</v>
      </c>
      <c r="H311" t="s">
        <v>64</v>
      </c>
      <c r="I311" t="s">
        <v>27</v>
      </c>
      <c r="J311" t="s">
        <v>677</v>
      </c>
      <c r="K311">
        <v>2024</v>
      </c>
      <c r="L311">
        <v>0</v>
      </c>
      <c r="M311">
        <v>1</v>
      </c>
      <c r="N311" t="s">
        <v>29</v>
      </c>
      <c r="O311">
        <v>4</v>
      </c>
      <c r="P311">
        <v>4</v>
      </c>
      <c r="Q311" t="s">
        <v>31</v>
      </c>
      <c r="R311">
        <v>16</v>
      </c>
      <c r="S311">
        <v>75</v>
      </c>
      <c r="T311">
        <v>58366</v>
      </c>
      <c r="U311">
        <v>6800</v>
      </c>
      <c r="V311">
        <v>8.9</v>
      </c>
      <c r="W311" t="s">
        <v>31</v>
      </c>
    </row>
    <row r="312" spans="1:23" x14ac:dyDescent="0.3">
      <c r="A312" t="s">
        <v>678</v>
      </c>
      <c r="B312" t="s">
        <v>2024</v>
      </c>
      <c r="C312">
        <v>41</v>
      </c>
      <c r="D312" t="s">
        <v>41</v>
      </c>
      <c r="E312" t="s">
        <v>34</v>
      </c>
      <c r="F312" t="s">
        <v>51</v>
      </c>
      <c r="G312" t="s">
        <v>63</v>
      </c>
      <c r="H312" t="s">
        <v>225</v>
      </c>
      <c r="I312" t="s">
        <v>27</v>
      </c>
      <c r="J312" t="s">
        <v>679</v>
      </c>
      <c r="K312">
        <v>2021</v>
      </c>
      <c r="L312">
        <v>3</v>
      </c>
      <c r="M312">
        <v>11</v>
      </c>
      <c r="N312" t="s">
        <v>29</v>
      </c>
      <c r="O312">
        <v>1</v>
      </c>
      <c r="P312">
        <v>2</v>
      </c>
      <c r="Q312" t="s">
        <v>31</v>
      </c>
      <c r="R312">
        <v>9</v>
      </c>
      <c r="S312">
        <v>24</v>
      </c>
      <c r="T312">
        <v>64257</v>
      </c>
      <c r="U312">
        <v>8900</v>
      </c>
      <c r="V312">
        <v>4.4000000000000004</v>
      </c>
      <c r="W312" t="s">
        <v>31</v>
      </c>
    </row>
    <row r="313" spans="1:23" x14ac:dyDescent="0.3">
      <c r="A313" t="s">
        <v>680</v>
      </c>
      <c r="B313" t="s">
        <v>2025</v>
      </c>
      <c r="C313">
        <v>40</v>
      </c>
      <c r="D313" t="s">
        <v>41</v>
      </c>
      <c r="E313" t="s">
        <v>34</v>
      </c>
      <c r="F313" t="s">
        <v>24</v>
      </c>
      <c r="G313" t="s">
        <v>43</v>
      </c>
      <c r="H313" t="s">
        <v>48</v>
      </c>
      <c r="I313" t="s">
        <v>27</v>
      </c>
      <c r="J313" t="s">
        <v>681</v>
      </c>
      <c r="K313">
        <v>2022</v>
      </c>
      <c r="L313">
        <v>2</v>
      </c>
      <c r="M313">
        <v>11</v>
      </c>
      <c r="N313" t="s">
        <v>98</v>
      </c>
      <c r="O313">
        <v>2</v>
      </c>
      <c r="P313">
        <v>5</v>
      </c>
      <c r="Q313" t="s">
        <v>31</v>
      </c>
      <c r="R313">
        <v>6</v>
      </c>
      <c r="S313">
        <v>36</v>
      </c>
      <c r="T313">
        <v>108455</v>
      </c>
      <c r="U313">
        <v>7300</v>
      </c>
      <c r="V313">
        <v>8</v>
      </c>
      <c r="W313" t="s">
        <v>31</v>
      </c>
    </row>
    <row r="314" spans="1:23" x14ac:dyDescent="0.3">
      <c r="A314" t="s">
        <v>682</v>
      </c>
      <c r="B314" t="s">
        <v>1949</v>
      </c>
      <c r="C314">
        <v>39</v>
      </c>
      <c r="D314" t="s">
        <v>33</v>
      </c>
      <c r="E314" t="s">
        <v>61</v>
      </c>
      <c r="F314" t="s">
        <v>24</v>
      </c>
      <c r="G314" t="s">
        <v>43</v>
      </c>
      <c r="H314" t="s">
        <v>72</v>
      </c>
      <c r="I314" t="s">
        <v>27</v>
      </c>
      <c r="J314" t="s">
        <v>683</v>
      </c>
      <c r="K314">
        <v>2022</v>
      </c>
      <c r="L314">
        <v>2</v>
      </c>
      <c r="M314">
        <v>16</v>
      </c>
      <c r="N314" t="s">
        <v>29</v>
      </c>
      <c r="O314">
        <v>2</v>
      </c>
      <c r="P314">
        <v>5</v>
      </c>
      <c r="Q314" t="s">
        <v>31</v>
      </c>
      <c r="R314">
        <v>1</v>
      </c>
      <c r="S314">
        <v>8</v>
      </c>
      <c r="T314">
        <v>134713</v>
      </c>
      <c r="U314">
        <v>14300</v>
      </c>
      <c r="V314">
        <v>3.6</v>
      </c>
      <c r="W314" t="s">
        <v>30</v>
      </c>
    </row>
    <row r="315" spans="1:23" x14ac:dyDescent="0.3">
      <c r="A315" t="s">
        <v>684</v>
      </c>
      <c r="B315" t="s">
        <v>2026</v>
      </c>
      <c r="C315">
        <v>42</v>
      </c>
      <c r="D315" t="s">
        <v>41</v>
      </c>
      <c r="E315" t="s">
        <v>23</v>
      </c>
      <c r="F315" t="s">
        <v>42</v>
      </c>
      <c r="G315" t="s">
        <v>36</v>
      </c>
      <c r="H315" t="s">
        <v>68</v>
      </c>
      <c r="I315" t="s">
        <v>27</v>
      </c>
      <c r="J315" t="s">
        <v>685</v>
      </c>
      <c r="K315">
        <v>2021</v>
      </c>
      <c r="L315">
        <v>3</v>
      </c>
      <c r="M315">
        <v>16</v>
      </c>
      <c r="N315" t="s">
        <v>98</v>
      </c>
      <c r="O315">
        <v>1</v>
      </c>
      <c r="P315">
        <v>1</v>
      </c>
      <c r="Q315" t="s">
        <v>31</v>
      </c>
      <c r="R315">
        <v>14</v>
      </c>
      <c r="S315">
        <v>58</v>
      </c>
      <c r="T315">
        <v>68281</v>
      </c>
      <c r="U315">
        <v>5300</v>
      </c>
      <c r="V315">
        <v>9.6999999999999993</v>
      </c>
      <c r="W315" t="s">
        <v>31</v>
      </c>
    </row>
    <row r="316" spans="1:23" x14ac:dyDescent="0.3">
      <c r="A316" t="s">
        <v>686</v>
      </c>
      <c r="B316" t="s">
        <v>2027</v>
      </c>
      <c r="C316">
        <v>40</v>
      </c>
      <c r="D316" t="s">
        <v>22</v>
      </c>
      <c r="E316" t="s">
        <v>34</v>
      </c>
      <c r="F316" t="s">
        <v>42</v>
      </c>
      <c r="G316" t="s">
        <v>52</v>
      </c>
      <c r="H316" t="s">
        <v>132</v>
      </c>
      <c r="I316" t="s">
        <v>27</v>
      </c>
      <c r="J316" t="s">
        <v>687</v>
      </c>
      <c r="K316">
        <v>2021</v>
      </c>
      <c r="L316">
        <v>3</v>
      </c>
      <c r="M316">
        <v>17</v>
      </c>
      <c r="N316" t="s">
        <v>98</v>
      </c>
      <c r="O316">
        <v>1</v>
      </c>
      <c r="P316">
        <v>2</v>
      </c>
      <c r="Q316" t="s">
        <v>31</v>
      </c>
      <c r="R316">
        <v>20</v>
      </c>
      <c r="S316">
        <v>46</v>
      </c>
      <c r="T316">
        <v>52737</v>
      </c>
      <c r="U316">
        <v>4300</v>
      </c>
      <c r="V316">
        <v>4.9000000000000004</v>
      </c>
      <c r="W316" t="s">
        <v>31</v>
      </c>
    </row>
    <row r="317" spans="1:23" x14ac:dyDescent="0.3">
      <c r="A317" t="s">
        <v>688</v>
      </c>
      <c r="B317" t="s">
        <v>2028</v>
      </c>
      <c r="C317">
        <v>26</v>
      </c>
      <c r="D317" t="s">
        <v>33</v>
      </c>
      <c r="E317" t="s">
        <v>61</v>
      </c>
      <c r="F317" t="s">
        <v>24</v>
      </c>
      <c r="G317" t="s">
        <v>63</v>
      </c>
      <c r="H317" t="s">
        <v>337</v>
      </c>
      <c r="I317" t="s">
        <v>27</v>
      </c>
      <c r="J317" t="s">
        <v>689</v>
      </c>
      <c r="K317">
        <v>2022</v>
      </c>
      <c r="L317">
        <v>2</v>
      </c>
      <c r="M317">
        <v>1</v>
      </c>
      <c r="N317" t="s">
        <v>29</v>
      </c>
      <c r="O317">
        <v>2</v>
      </c>
      <c r="P317">
        <v>2</v>
      </c>
      <c r="Q317" t="s">
        <v>31</v>
      </c>
      <c r="R317">
        <v>24</v>
      </c>
      <c r="S317">
        <v>67</v>
      </c>
      <c r="T317">
        <v>50521</v>
      </c>
      <c r="U317">
        <v>6100</v>
      </c>
      <c r="V317">
        <v>4</v>
      </c>
      <c r="W317" t="s">
        <v>31</v>
      </c>
    </row>
    <row r="318" spans="1:23" x14ac:dyDescent="0.3">
      <c r="A318" t="s">
        <v>690</v>
      </c>
      <c r="B318" t="s">
        <v>1876</v>
      </c>
      <c r="C318">
        <v>45</v>
      </c>
      <c r="D318" t="s">
        <v>33</v>
      </c>
      <c r="E318" t="s">
        <v>61</v>
      </c>
      <c r="F318" t="s">
        <v>24</v>
      </c>
      <c r="G318" t="s">
        <v>43</v>
      </c>
      <c r="H318" t="s">
        <v>48</v>
      </c>
      <c r="I318" t="s">
        <v>27</v>
      </c>
      <c r="J318" t="s">
        <v>691</v>
      </c>
      <c r="K318">
        <v>2024</v>
      </c>
      <c r="L318">
        <v>0</v>
      </c>
      <c r="M318">
        <v>15</v>
      </c>
      <c r="N318" t="s">
        <v>39</v>
      </c>
      <c r="O318">
        <v>2</v>
      </c>
      <c r="P318">
        <v>4</v>
      </c>
      <c r="Q318" t="s">
        <v>30</v>
      </c>
      <c r="R318">
        <v>1</v>
      </c>
      <c r="S318">
        <v>50</v>
      </c>
      <c r="T318">
        <v>117418</v>
      </c>
      <c r="U318">
        <v>3400</v>
      </c>
      <c r="V318">
        <v>12.2</v>
      </c>
      <c r="W318" t="s">
        <v>31</v>
      </c>
    </row>
    <row r="319" spans="1:23" x14ac:dyDescent="0.3">
      <c r="A319" t="s">
        <v>692</v>
      </c>
      <c r="B319" t="s">
        <v>1977</v>
      </c>
      <c r="C319">
        <v>43</v>
      </c>
      <c r="D319" t="s">
        <v>33</v>
      </c>
      <c r="E319" t="s">
        <v>34</v>
      </c>
      <c r="F319" t="s">
        <v>42</v>
      </c>
      <c r="G319" t="s">
        <v>100</v>
      </c>
      <c r="H319" t="s">
        <v>150</v>
      </c>
      <c r="I319" t="s">
        <v>27</v>
      </c>
      <c r="J319" t="s">
        <v>553</v>
      </c>
      <c r="K319">
        <v>2021</v>
      </c>
      <c r="L319">
        <v>3</v>
      </c>
      <c r="M319">
        <v>17</v>
      </c>
      <c r="N319" t="s">
        <v>98</v>
      </c>
      <c r="O319">
        <v>2</v>
      </c>
      <c r="P319">
        <v>4</v>
      </c>
      <c r="Q319" t="s">
        <v>31</v>
      </c>
      <c r="R319">
        <v>14</v>
      </c>
      <c r="S319">
        <v>26</v>
      </c>
      <c r="T319">
        <v>76281</v>
      </c>
      <c r="U319">
        <v>5800</v>
      </c>
      <c r="V319">
        <v>6.8</v>
      </c>
      <c r="W319" t="s">
        <v>31</v>
      </c>
    </row>
    <row r="320" spans="1:23" x14ac:dyDescent="0.3">
      <c r="A320" t="s">
        <v>693</v>
      </c>
      <c r="B320" t="s">
        <v>2029</v>
      </c>
      <c r="C320">
        <v>25</v>
      </c>
      <c r="D320" t="s">
        <v>33</v>
      </c>
      <c r="E320" t="s">
        <v>71</v>
      </c>
      <c r="F320" t="s">
        <v>57</v>
      </c>
      <c r="G320" t="s">
        <v>36</v>
      </c>
      <c r="H320" t="s">
        <v>89</v>
      </c>
      <c r="I320" t="s">
        <v>27</v>
      </c>
      <c r="J320" t="s">
        <v>694</v>
      </c>
      <c r="K320">
        <v>2024</v>
      </c>
      <c r="L320">
        <v>0</v>
      </c>
      <c r="M320">
        <v>3</v>
      </c>
      <c r="N320" t="s">
        <v>98</v>
      </c>
      <c r="O320">
        <v>3</v>
      </c>
      <c r="P320">
        <v>5</v>
      </c>
      <c r="Q320" t="s">
        <v>30</v>
      </c>
      <c r="R320">
        <v>10</v>
      </c>
      <c r="S320">
        <v>20</v>
      </c>
      <c r="T320">
        <v>70558</v>
      </c>
      <c r="U320">
        <v>5400</v>
      </c>
      <c r="V320">
        <v>4.5</v>
      </c>
      <c r="W320" t="s">
        <v>31</v>
      </c>
    </row>
    <row r="321" spans="1:23" x14ac:dyDescent="0.3">
      <c r="A321" t="s">
        <v>695</v>
      </c>
      <c r="B321" t="s">
        <v>2030</v>
      </c>
      <c r="C321">
        <v>38</v>
      </c>
      <c r="D321" t="s">
        <v>41</v>
      </c>
      <c r="E321" t="s">
        <v>23</v>
      </c>
      <c r="F321" t="s">
        <v>57</v>
      </c>
      <c r="G321" t="s">
        <v>63</v>
      </c>
      <c r="H321" t="s">
        <v>310</v>
      </c>
      <c r="I321" t="s">
        <v>27</v>
      </c>
      <c r="J321" t="s">
        <v>696</v>
      </c>
      <c r="K321">
        <v>2023</v>
      </c>
      <c r="L321">
        <v>1</v>
      </c>
      <c r="M321">
        <v>10</v>
      </c>
      <c r="N321" t="s">
        <v>98</v>
      </c>
      <c r="O321">
        <v>5</v>
      </c>
      <c r="P321">
        <v>1</v>
      </c>
      <c r="Q321" t="s">
        <v>30</v>
      </c>
      <c r="R321">
        <v>14</v>
      </c>
      <c r="S321">
        <v>43</v>
      </c>
      <c r="T321">
        <v>38618</v>
      </c>
      <c r="U321">
        <v>3100</v>
      </c>
      <c r="V321">
        <v>6.1</v>
      </c>
      <c r="W321" t="s">
        <v>31</v>
      </c>
    </row>
    <row r="322" spans="1:23" x14ac:dyDescent="0.3">
      <c r="A322" t="s">
        <v>697</v>
      </c>
      <c r="B322" t="s">
        <v>2031</v>
      </c>
      <c r="C322">
        <v>34</v>
      </c>
      <c r="D322" t="s">
        <v>33</v>
      </c>
      <c r="E322" t="s">
        <v>71</v>
      </c>
      <c r="F322" t="s">
        <v>51</v>
      </c>
      <c r="G322" t="s">
        <v>63</v>
      </c>
      <c r="H322" t="s">
        <v>64</v>
      </c>
      <c r="I322" t="s">
        <v>27</v>
      </c>
      <c r="J322" t="s">
        <v>698</v>
      </c>
      <c r="K322">
        <v>2022</v>
      </c>
      <c r="L322">
        <v>2</v>
      </c>
      <c r="M322">
        <v>10</v>
      </c>
      <c r="N322" t="s">
        <v>98</v>
      </c>
      <c r="O322">
        <v>4</v>
      </c>
      <c r="P322">
        <v>4</v>
      </c>
      <c r="Q322" t="s">
        <v>31</v>
      </c>
      <c r="R322">
        <v>2</v>
      </c>
      <c r="S322">
        <v>11</v>
      </c>
      <c r="T322">
        <v>52028</v>
      </c>
      <c r="U322">
        <v>3100</v>
      </c>
      <c r="V322">
        <v>9.1999999999999993</v>
      </c>
      <c r="W322" t="s">
        <v>31</v>
      </c>
    </row>
    <row r="323" spans="1:23" x14ac:dyDescent="0.3">
      <c r="A323" t="s">
        <v>699</v>
      </c>
      <c r="B323" t="s">
        <v>1841</v>
      </c>
      <c r="C323">
        <v>42</v>
      </c>
      <c r="D323" t="s">
        <v>41</v>
      </c>
      <c r="E323" t="s">
        <v>34</v>
      </c>
      <c r="F323" t="s">
        <v>51</v>
      </c>
      <c r="G323" t="s">
        <v>117</v>
      </c>
      <c r="H323" t="s">
        <v>298</v>
      </c>
      <c r="I323" t="s">
        <v>27</v>
      </c>
      <c r="J323" t="s">
        <v>700</v>
      </c>
      <c r="K323">
        <v>2022</v>
      </c>
      <c r="L323">
        <v>2</v>
      </c>
      <c r="M323">
        <v>12</v>
      </c>
      <c r="N323" t="s">
        <v>29</v>
      </c>
      <c r="O323">
        <v>4</v>
      </c>
      <c r="P323">
        <v>4</v>
      </c>
      <c r="Q323" t="s">
        <v>31</v>
      </c>
      <c r="R323">
        <v>5</v>
      </c>
      <c r="S323">
        <v>18</v>
      </c>
      <c r="T323">
        <v>91632</v>
      </c>
      <c r="U323">
        <v>10500</v>
      </c>
      <c r="V323">
        <v>6.2</v>
      </c>
      <c r="W323" t="s">
        <v>31</v>
      </c>
    </row>
    <row r="324" spans="1:23" x14ac:dyDescent="0.3">
      <c r="A324" t="s">
        <v>701</v>
      </c>
      <c r="B324" t="s">
        <v>2032</v>
      </c>
      <c r="C324">
        <v>44</v>
      </c>
      <c r="D324" t="s">
        <v>41</v>
      </c>
      <c r="E324" t="s">
        <v>34</v>
      </c>
      <c r="F324" t="s">
        <v>62</v>
      </c>
      <c r="G324" t="s">
        <v>52</v>
      </c>
      <c r="H324" t="s">
        <v>53</v>
      </c>
      <c r="I324" t="s">
        <v>27</v>
      </c>
      <c r="J324" t="s">
        <v>702</v>
      </c>
      <c r="K324">
        <v>2021</v>
      </c>
      <c r="L324">
        <v>3</v>
      </c>
      <c r="M324">
        <v>15</v>
      </c>
      <c r="N324" t="s">
        <v>39</v>
      </c>
      <c r="O324">
        <v>5</v>
      </c>
      <c r="P324">
        <v>2</v>
      </c>
      <c r="Q324" t="s">
        <v>30</v>
      </c>
      <c r="R324">
        <v>3</v>
      </c>
      <c r="S324">
        <v>47</v>
      </c>
      <c r="T324">
        <v>55278</v>
      </c>
      <c r="U324">
        <v>1600</v>
      </c>
      <c r="V324">
        <v>14.4</v>
      </c>
      <c r="W324" t="s">
        <v>31</v>
      </c>
    </row>
    <row r="325" spans="1:23" x14ac:dyDescent="0.3">
      <c r="A325" t="s">
        <v>703</v>
      </c>
      <c r="B325" t="s">
        <v>2033</v>
      </c>
      <c r="C325">
        <v>29</v>
      </c>
      <c r="D325" t="s">
        <v>22</v>
      </c>
      <c r="E325" t="s">
        <v>61</v>
      </c>
      <c r="F325" t="s">
        <v>51</v>
      </c>
      <c r="G325" t="s">
        <v>63</v>
      </c>
      <c r="H325" t="s">
        <v>337</v>
      </c>
      <c r="I325" t="s">
        <v>27</v>
      </c>
      <c r="J325" t="s">
        <v>704</v>
      </c>
      <c r="K325">
        <v>2024</v>
      </c>
      <c r="L325">
        <v>0</v>
      </c>
      <c r="M325">
        <v>5</v>
      </c>
      <c r="N325" t="s">
        <v>85</v>
      </c>
      <c r="O325">
        <v>5</v>
      </c>
      <c r="P325">
        <v>3</v>
      </c>
      <c r="Q325" t="s">
        <v>31</v>
      </c>
      <c r="R325">
        <v>2</v>
      </c>
      <c r="S325">
        <v>5</v>
      </c>
      <c r="T325">
        <v>48820</v>
      </c>
      <c r="U325">
        <v>11300</v>
      </c>
      <c r="V325">
        <v>13.7</v>
      </c>
      <c r="W325" t="s">
        <v>31</v>
      </c>
    </row>
    <row r="326" spans="1:23" x14ac:dyDescent="0.3">
      <c r="A326" t="s">
        <v>705</v>
      </c>
      <c r="B326" t="s">
        <v>1828</v>
      </c>
      <c r="C326">
        <v>42</v>
      </c>
      <c r="D326" t="s">
        <v>41</v>
      </c>
      <c r="E326" t="s">
        <v>61</v>
      </c>
      <c r="F326" t="s">
        <v>35</v>
      </c>
      <c r="G326" t="s">
        <v>36</v>
      </c>
      <c r="H326" t="s">
        <v>89</v>
      </c>
      <c r="I326" t="s">
        <v>79</v>
      </c>
      <c r="J326" t="s">
        <v>706</v>
      </c>
      <c r="K326">
        <v>2024</v>
      </c>
      <c r="L326">
        <v>0</v>
      </c>
      <c r="M326">
        <v>13</v>
      </c>
      <c r="N326" t="s">
        <v>85</v>
      </c>
      <c r="O326">
        <v>3</v>
      </c>
      <c r="P326">
        <v>1</v>
      </c>
      <c r="Q326" t="s">
        <v>31</v>
      </c>
      <c r="R326">
        <v>19</v>
      </c>
      <c r="S326">
        <v>79</v>
      </c>
      <c r="T326">
        <v>84695</v>
      </c>
      <c r="U326">
        <v>14500</v>
      </c>
      <c r="V326">
        <v>10.6</v>
      </c>
      <c r="W326" t="s">
        <v>31</v>
      </c>
    </row>
    <row r="327" spans="1:23" x14ac:dyDescent="0.3">
      <c r="A327" t="s">
        <v>707</v>
      </c>
      <c r="B327" t="s">
        <v>1881</v>
      </c>
      <c r="C327">
        <v>41</v>
      </c>
      <c r="D327" t="s">
        <v>41</v>
      </c>
      <c r="E327" t="s">
        <v>71</v>
      </c>
      <c r="F327" t="s">
        <v>57</v>
      </c>
      <c r="G327" t="s">
        <v>52</v>
      </c>
      <c r="H327" t="s">
        <v>320</v>
      </c>
      <c r="I327" t="s">
        <v>27</v>
      </c>
      <c r="J327" t="s">
        <v>363</v>
      </c>
      <c r="K327">
        <v>2023</v>
      </c>
      <c r="L327">
        <v>1</v>
      </c>
      <c r="M327">
        <v>15</v>
      </c>
      <c r="N327" t="s">
        <v>98</v>
      </c>
      <c r="O327">
        <v>1</v>
      </c>
      <c r="P327">
        <v>2</v>
      </c>
      <c r="Q327" t="s">
        <v>31</v>
      </c>
      <c r="R327">
        <v>19</v>
      </c>
      <c r="S327">
        <v>69</v>
      </c>
      <c r="T327">
        <v>55853</v>
      </c>
      <c r="U327">
        <v>4000</v>
      </c>
      <c r="V327">
        <v>12.6</v>
      </c>
      <c r="W327" t="s">
        <v>31</v>
      </c>
    </row>
    <row r="328" spans="1:23" x14ac:dyDescent="0.3">
      <c r="A328" t="s">
        <v>708</v>
      </c>
      <c r="B328" t="s">
        <v>2034</v>
      </c>
      <c r="C328">
        <v>34</v>
      </c>
      <c r="D328" t="s">
        <v>33</v>
      </c>
      <c r="E328" t="s">
        <v>34</v>
      </c>
      <c r="F328" t="s">
        <v>57</v>
      </c>
      <c r="G328" t="s">
        <v>43</v>
      </c>
      <c r="H328" t="s">
        <v>72</v>
      </c>
      <c r="I328" t="s">
        <v>79</v>
      </c>
      <c r="J328" t="s">
        <v>709</v>
      </c>
      <c r="K328">
        <v>2024</v>
      </c>
      <c r="L328">
        <v>0</v>
      </c>
      <c r="M328">
        <v>4</v>
      </c>
      <c r="N328" t="s">
        <v>29</v>
      </c>
      <c r="O328">
        <v>5</v>
      </c>
      <c r="P328">
        <v>3</v>
      </c>
      <c r="Q328" t="s">
        <v>31</v>
      </c>
      <c r="R328">
        <v>12</v>
      </c>
      <c r="S328">
        <v>75</v>
      </c>
      <c r="T328">
        <v>72486</v>
      </c>
      <c r="U328">
        <v>7700</v>
      </c>
      <c r="V328">
        <v>13</v>
      </c>
      <c r="W328" t="s">
        <v>31</v>
      </c>
    </row>
    <row r="329" spans="1:23" x14ac:dyDescent="0.3">
      <c r="A329" t="s">
        <v>710</v>
      </c>
      <c r="B329" t="s">
        <v>2035</v>
      </c>
      <c r="C329">
        <v>36</v>
      </c>
      <c r="D329" t="s">
        <v>41</v>
      </c>
      <c r="E329" t="s">
        <v>56</v>
      </c>
      <c r="F329" t="s">
        <v>35</v>
      </c>
      <c r="G329" t="s">
        <v>117</v>
      </c>
      <c r="H329" t="s">
        <v>298</v>
      </c>
      <c r="I329" t="s">
        <v>27</v>
      </c>
      <c r="J329" t="s">
        <v>597</v>
      </c>
      <c r="K329">
        <v>2023</v>
      </c>
      <c r="L329">
        <v>1</v>
      </c>
      <c r="M329">
        <v>14</v>
      </c>
      <c r="N329" t="s">
        <v>29</v>
      </c>
      <c r="O329">
        <v>1</v>
      </c>
      <c r="P329">
        <v>2</v>
      </c>
      <c r="Q329" t="s">
        <v>30</v>
      </c>
      <c r="R329">
        <v>9</v>
      </c>
      <c r="S329">
        <v>52</v>
      </c>
      <c r="T329">
        <v>75799</v>
      </c>
      <c r="U329">
        <v>7600</v>
      </c>
      <c r="V329">
        <v>14.8</v>
      </c>
      <c r="W329" t="s">
        <v>31</v>
      </c>
    </row>
    <row r="330" spans="1:23" x14ac:dyDescent="0.3">
      <c r="A330" t="s">
        <v>711</v>
      </c>
      <c r="B330" t="s">
        <v>2036</v>
      </c>
      <c r="C330">
        <v>38</v>
      </c>
      <c r="D330" t="s">
        <v>41</v>
      </c>
      <c r="E330" t="s">
        <v>34</v>
      </c>
      <c r="F330" t="s">
        <v>75</v>
      </c>
      <c r="G330" t="s">
        <v>52</v>
      </c>
      <c r="H330" t="s">
        <v>53</v>
      </c>
      <c r="I330" t="s">
        <v>27</v>
      </c>
      <c r="J330" t="s">
        <v>473</v>
      </c>
      <c r="K330">
        <v>2021</v>
      </c>
      <c r="L330">
        <v>3</v>
      </c>
      <c r="M330">
        <v>10</v>
      </c>
      <c r="N330" t="s">
        <v>29</v>
      </c>
      <c r="O330">
        <v>5</v>
      </c>
      <c r="P330">
        <v>5</v>
      </c>
      <c r="Q330" t="s">
        <v>30</v>
      </c>
      <c r="R330">
        <v>7</v>
      </c>
      <c r="S330">
        <v>63</v>
      </c>
      <c r="T330">
        <v>54336</v>
      </c>
      <c r="U330">
        <v>6100</v>
      </c>
      <c r="V330">
        <v>7.5</v>
      </c>
      <c r="W330" t="s">
        <v>31</v>
      </c>
    </row>
    <row r="331" spans="1:23" x14ac:dyDescent="0.3">
      <c r="A331" t="s">
        <v>712</v>
      </c>
      <c r="B331" t="s">
        <v>1954</v>
      </c>
      <c r="C331">
        <v>37</v>
      </c>
      <c r="D331" t="s">
        <v>33</v>
      </c>
      <c r="E331" t="s">
        <v>71</v>
      </c>
      <c r="F331" t="s">
        <v>57</v>
      </c>
      <c r="G331" t="s">
        <v>63</v>
      </c>
      <c r="H331" t="s">
        <v>225</v>
      </c>
      <c r="I331" t="s">
        <v>27</v>
      </c>
      <c r="J331" t="s">
        <v>713</v>
      </c>
      <c r="K331">
        <v>2023</v>
      </c>
      <c r="L331">
        <v>1</v>
      </c>
      <c r="M331">
        <v>14</v>
      </c>
      <c r="N331" t="s">
        <v>29</v>
      </c>
      <c r="O331">
        <v>5</v>
      </c>
      <c r="P331">
        <v>2</v>
      </c>
      <c r="Q331" t="s">
        <v>31</v>
      </c>
      <c r="R331">
        <v>9</v>
      </c>
      <c r="S331">
        <v>72</v>
      </c>
      <c r="T331">
        <v>48352</v>
      </c>
      <c r="U331">
        <v>6800</v>
      </c>
      <c r="V331">
        <v>3.2</v>
      </c>
      <c r="W331" t="s">
        <v>31</v>
      </c>
    </row>
    <row r="332" spans="1:23" x14ac:dyDescent="0.3">
      <c r="A332" t="s">
        <v>714</v>
      </c>
      <c r="B332" t="s">
        <v>1920</v>
      </c>
      <c r="C332">
        <v>42</v>
      </c>
      <c r="D332" t="s">
        <v>41</v>
      </c>
      <c r="E332" t="s">
        <v>61</v>
      </c>
      <c r="F332" t="s">
        <v>62</v>
      </c>
      <c r="G332" t="s">
        <v>52</v>
      </c>
      <c r="H332" t="s">
        <v>320</v>
      </c>
      <c r="I332" t="s">
        <v>27</v>
      </c>
      <c r="J332" t="s">
        <v>715</v>
      </c>
      <c r="K332">
        <v>2022</v>
      </c>
      <c r="L332">
        <v>2</v>
      </c>
      <c r="M332">
        <v>18</v>
      </c>
      <c r="N332" t="s">
        <v>39</v>
      </c>
      <c r="O332">
        <v>2</v>
      </c>
      <c r="P332">
        <v>1</v>
      </c>
      <c r="Q332" t="s">
        <v>31</v>
      </c>
      <c r="R332">
        <v>1</v>
      </c>
      <c r="S332">
        <v>61</v>
      </c>
      <c r="T332">
        <v>80227</v>
      </c>
      <c r="U332">
        <v>2900</v>
      </c>
      <c r="V332">
        <v>9.6999999999999993</v>
      </c>
      <c r="W332" t="s">
        <v>30</v>
      </c>
    </row>
    <row r="333" spans="1:23" x14ac:dyDescent="0.3">
      <c r="A333" t="s">
        <v>716</v>
      </c>
      <c r="B333" t="s">
        <v>2037</v>
      </c>
      <c r="C333">
        <v>37</v>
      </c>
      <c r="D333" t="s">
        <v>33</v>
      </c>
      <c r="E333" t="s">
        <v>34</v>
      </c>
      <c r="F333" t="s">
        <v>35</v>
      </c>
      <c r="G333" t="s">
        <v>43</v>
      </c>
      <c r="H333" t="s">
        <v>96</v>
      </c>
      <c r="I333" t="s">
        <v>27</v>
      </c>
      <c r="J333" t="s">
        <v>54</v>
      </c>
      <c r="K333">
        <v>2024</v>
      </c>
      <c r="L333">
        <v>0</v>
      </c>
      <c r="M333">
        <v>7</v>
      </c>
      <c r="N333" t="s">
        <v>98</v>
      </c>
      <c r="O333">
        <v>3</v>
      </c>
      <c r="P333">
        <v>4</v>
      </c>
      <c r="Q333" t="s">
        <v>30</v>
      </c>
      <c r="R333">
        <v>6</v>
      </c>
      <c r="S333">
        <v>78</v>
      </c>
      <c r="T333">
        <v>91157</v>
      </c>
      <c r="U333">
        <v>6500</v>
      </c>
      <c r="V333">
        <v>6.6</v>
      </c>
      <c r="W333" t="s">
        <v>31</v>
      </c>
    </row>
    <row r="334" spans="1:23" x14ac:dyDescent="0.3">
      <c r="A334" t="s">
        <v>717</v>
      </c>
      <c r="B334" t="s">
        <v>2038</v>
      </c>
      <c r="C334">
        <v>34</v>
      </c>
      <c r="D334" t="s">
        <v>33</v>
      </c>
      <c r="E334" t="s">
        <v>71</v>
      </c>
      <c r="F334" t="s">
        <v>137</v>
      </c>
      <c r="G334" t="s">
        <v>52</v>
      </c>
      <c r="H334" t="s">
        <v>208</v>
      </c>
      <c r="I334" t="s">
        <v>27</v>
      </c>
      <c r="J334" t="s">
        <v>413</v>
      </c>
      <c r="K334">
        <v>2023</v>
      </c>
      <c r="L334">
        <v>1</v>
      </c>
      <c r="M334">
        <v>9</v>
      </c>
      <c r="N334" t="s">
        <v>29</v>
      </c>
      <c r="O334">
        <v>1</v>
      </c>
      <c r="P334">
        <v>1</v>
      </c>
      <c r="Q334" t="s">
        <v>31</v>
      </c>
      <c r="R334">
        <v>21</v>
      </c>
      <c r="S334">
        <v>22</v>
      </c>
      <c r="T334">
        <v>66078</v>
      </c>
      <c r="U334">
        <v>7800</v>
      </c>
      <c r="V334">
        <v>10.199999999999999</v>
      </c>
      <c r="W334" t="s">
        <v>30</v>
      </c>
    </row>
    <row r="335" spans="1:23" x14ac:dyDescent="0.3">
      <c r="A335" t="s">
        <v>718</v>
      </c>
      <c r="B335" t="s">
        <v>1835</v>
      </c>
      <c r="C335">
        <v>26</v>
      </c>
      <c r="D335" t="s">
        <v>33</v>
      </c>
      <c r="E335" t="s">
        <v>71</v>
      </c>
      <c r="F335" t="s">
        <v>153</v>
      </c>
      <c r="G335" t="s">
        <v>36</v>
      </c>
      <c r="H335" t="s">
        <v>89</v>
      </c>
      <c r="I335" t="s">
        <v>27</v>
      </c>
      <c r="J335" t="s">
        <v>719</v>
      </c>
      <c r="K335">
        <v>2024</v>
      </c>
      <c r="L335">
        <v>0</v>
      </c>
      <c r="M335">
        <v>3</v>
      </c>
      <c r="N335" t="s">
        <v>29</v>
      </c>
      <c r="O335">
        <v>1</v>
      </c>
      <c r="P335">
        <v>1</v>
      </c>
      <c r="Q335" t="s">
        <v>31</v>
      </c>
      <c r="R335">
        <v>14</v>
      </c>
      <c r="S335">
        <v>47</v>
      </c>
      <c r="T335">
        <v>89014</v>
      </c>
      <c r="U335">
        <v>9100</v>
      </c>
      <c r="V335">
        <v>14.7</v>
      </c>
      <c r="W335" t="s">
        <v>31</v>
      </c>
    </row>
    <row r="336" spans="1:23" x14ac:dyDescent="0.3">
      <c r="A336" t="s">
        <v>720</v>
      </c>
      <c r="B336" t="s">
        <v>1993</v>
      </c>
      <c r="C336">
        <v>37</v>
      </c>
      <c r="D336" t="s">
        <v>41</v>
      </c>
      <c r="E336" t="s">
        <v>34</v>
      </c>
      <c r="F336" t="s">
        <v>137</v>
      </c>
      <c r="G336" t="s">
        <v>63</v>
      </c>
      <c r="H336" t="s">
        <v>64</v>
      </c>
      <c r="I336" t="s">
        <v>27</v>
      </c>
      <c r="J336" t="s">
        <v>721</v>
      </c>
      <c r="K336">
        <v>2021</v>
      </c>
      <c r="L336">
        <v>3</v>
      </c>
      <c r="M336">
        <v>12</v>
      </c>
      <c r="N336" t="s">
        <v>29</v>
      </c>
      <c r="O336">
        <v>5</v>
      </c>
      <c r="P336">
        <v>2</v>
      </c>
      <c r="Q336" t="s">
        <v>31</v>
      </c>
      <c r="R336">
        <v>0</v>
      </c>
      <c r="S336">
        <v>25</v>
      </c>
      <c r="T336">
        <v>55101</v>
      </c>
      <c r="U336">
        <v>7400</v>
      </c>
      <c r="V336">
        <v>5.7</v>
      </c>
      <c r="W336" t="s">
        <v>31</v>
      </c>
    </row>
    <row r="337" spans="1:23" x14ac:dyDescent="0.3">
      <c r="A337" t="s">
        <v>722</v>
      </c>
      <c r="B337" t="s">
        <v>1828</v>
      </c>
      <c r="C337">
        <v>31</v>
      </c>
      <c r="D337" t="s">
        <v>41</v>
      </c>
      <c r="E337" t="s">
        <v>34</v>
      </c>
      <c r="F337" t="s">
        <v>47</v>
      </c>
      <c r="G337" t="s">
        <v>63</v>
      </c>
      <c r="H337" t="s">
        <v>225</v>
      </c>
      <c r="I337" t="s">
        <v>27</v>
      </c>
      <c r="J337" t="s">
        <v>723</v>
      </c>
      <c r="K337">
        <v>2024</v>
      </c>
      <c r="L337">
        <v>0</v>
      </c>
      <c r="M337">
        <v>7</v>
      </c>
      <c r="N337" t="s">
        <v>98</v>
      </c>
      <c r="O337">
        <v>1</v>
      </c>
      <c r="P337">
        <v>5</v>
      </c>
      <c r="Q337" t="s">
        <v>31</v>
      </c>
      <c r="R337">
        <v>19</v>
      </c>
      <c r="S337">
        <v>32</v>
      </c>
      <c r="T337">
        <v>39202</v>
      </c>
      <c r="U337">
        <v>2300</v>
      </c>
      <c r="V337">
        <v>14.2</v>
      </c>
      <c r="W337" t="s">
        <v>31</v>
      </c>
    </row>
    <row r="338" spans="1:23" x14ac:dyDescent="0.3">
      <c r="A338" t="s">
        <v>724</v>
      </c>
      <c r="B338" t="s">
        <v>1969</v>
      </c>
      <c r="C338">
        <v>40</v>
      </c>
      <c r="D338" t="s">
        <v>41</v>
      </c>
      <c r="E338" t="s">
        <v>34</v>
      </c>
      <c r="F338" t="s">
        <v>47</v>
      </c>
      <c r="G338" t="s">
        <v>43</v>
      </c>
      <c r="H338" t="s">
        <v>48</v>
      </c>
      <c r="I338" t="s">
        <v>65</v>
      </c>
      <c r="J338" t="s">
        <v>121</v>
      </c>
      <c r="K338">
        <v>2021</v>
      </c>
      <c r="L338">
        <v>3</v>
      </c>
      <c r="M338">
        <v>14</v>
      </c>
      <c r="N338" t="s">
        <v>29</v>
      </c>
      <c r="O338">
        <v>5</v>
      </c>
      <c r="P338">
        <v>4</v>
      </c>
      <c r="Q338" t="s">
        <v>30</v>
      </c>
      <c r="R338">
        <v>10</v>
      </c>
      <c r="S338">
        <v>0</v>
      </c>
      <c r="T338">
        <v>137933</v>
      </c>
      <c r="U338">
        <v>15600</v>
      </c>
      <c r="V338">
        <v>12.1</v>
      </c>
      <c r="W338" t="s">
        <v>31</v>
      </c>
    </row>
    <row r="339" spans="1:23" x14ac:dyDescent="0.3">
      <c r="A339" t="s">
        <v>725</v>
      </c>
      <c r="B339" t="s">
        <v>2039</v>
      </c>
      <c r="C339">
        <v>37</v>
      </c>
      <c r="D339" t="s">
        <v>41</v>
      </c>
      <c r="E339" t="s">
        <v>56</v>
      </c>
      <c r="F339" t="s">
        <v>137</v>
      </c>
      <c r="G339" t="s">
        <v>52</v>
      </c>
      <c r="H339" t="s">
        <v>320</v>
      </c>
      <c r="I339" t="s">
        <v>27</v>
      </c>
      <c r="J339" t="s">
        <v>726</v>
      </c>
      <c r="K339">
        <v>2021</v>
      </c>
      <c r="L339">
        <v>3</v>
      </c>
      <c r="M339">
        <v>14</v>
      </c>
      <c r="N339" t="s">
        <v>85</v>
      </c>
      <c r="O339">
        <v>3</v>
      </c>
      <c r="P339">
        <v>3</v>
      </c>
      <c r="Q339" t="s">
        <v>31</v>
      </c>
      <c r="R339">
        <v>7</v>
      </c>
      <c r="S339">
        <v>13</v>
      </c>
      <c r="T339">
        <v>57902</v>
      </c>
      <c r="U339">
        <v>10700</v>
      </c>
      <c r="V339">
        <v>10.5</v>
      </c>
      <c r="W339" t="s">
        <v>30</v>
      </c>
    </row>
    <row r="340" spans="1:23" x14ac:dyDescent="0.3">
      <c r="A340" t="s">
        <v>727</v>
      </c>
      <c r="B340" t="s">
        <v>2040</v>
      </c>
      <c r="C340">
        <v>31</v>
      </c>
      <c r="D340" t="s">
        <v>41</v>
      </c>
      <c r="E340" t="s">
        <v>61</v>
      </c>
      <c r="F340" t="s">
        <v>137</v>
      </c>
      <c r="G340" t="s">
        <v>82</v>
      </c>
      <c r="H340" t="s">
        <v>323</v>
      </c>
      <c r="I340" t="s">
        <v>27</v>
      </c>
      <c r="J340" t="s">
        <v>728</v>
      </c>
      <c r="K340">
        <v>2021</v>
      </c>
      <c r="L340">
        <v>3</v>
      </c>
      <c r="M340">
        <v>8</v>
      </c>
      <c r="N340" t="s">
        <v>29</v>
      </c>
      <c r="O340">
        <v>1</v>
      </c>
      <c r="P340">
        <v>2</v>
      </c>
      <c r="Q340" t="s">
        <v>31</v>
      </c>
      <c r="R340">
        <v>1</v>
      </c>
      <c r="S340">
        <v>56</v>
      </c>
      <c r="T340">
        <v>85603</v>
      </c>
      <c r="U340">
        <v>8600</v>
      </c>
      <c r="V340">
        <v>8.4</v>
      </c>
      <c r="W340" t="s">
        <v>31</v>
      </c>
    </row>
    <row r="341" spans="1:23" x14ac:dyDescent="0.3">
      <c r="A341" t="s">
        <v>729</v>
      </c>
      <c r="B341" t="s">
        <v>2041</v>
      </c>
      <c r="C341">
        <v>32</v>
      </c>
      <c r="D341" t="s">
        <v>41</v>
      </c>
      <c r="E341" t="s">
        <v>34</v>
      </c>
      <c r="F341" t="s">
        <v>62</v>
      </c>
      <c r="G341" t="s">
        <v>43</v>
      </c>
      <c r="H341" t="s">
        <v>72</v>
      </c>
      <c r="I341" t="s">
        <v>27</v>
      </c>
      <c r="J341" t="s">
        <v>618</v>
      </c>
      <c r="K341">
        <v>2021</v>
      </c>
      <c r="L341">
        <v>3</v>
      </c>
      <c r="M341">
        <v>2</v>
      </c>
      <c r="N341" t="s">
        <v>29</v>
      </c>
      <c r="O341">
        <v>4</v>
      </c>
      <c r="P341">
        <v>4</v>
      </c>
      <c r="Q341" t="s">
        <v>31</v>
      </c>
      <c r="R341">
        <v>13</v>
      </c>
      <c r="S341">
        <v>79</v>
      </c>
      <c r="T341">
        <v>119998</v>
      </c>
      <c r="U341">
        <v>15100</v>
      </c>
      <c r="V341">
        <v>7.9</v>
      </c>
      <c r="W341" t="s">
        <v>31</v>
      </c>
    </row>
    <row r="342" spans="1:23" x14ac:dyDescent="0.3">
      <c r="A342" t="s">
        <v>730</v>
      </c>
      <c r="B342" t="s">
        <v>1872</v>
      </c>
      <c r="C342">
        <v>36</v>
      </c>
      <c r="D342" t="s">
        <v>41</v>
      </c>
      <c r="E342" t="s">
        <v>34</v>
      </c>
      <c r="F342" t="s">
        <v>42</v>
      </c>
      <c r="G342" t="s">
        <v>52</v>
      </c>
      <c r="H342" t="s">
        <v>132</v>
      </c>
      <c r="I342" t="s">
        <v>27</v>
      </c>
      <c r="J342" t="s">
        <v>731</v>
      </c>
      <c r="K342">
        <v>2021</v>
      </c>
      <c r="L342">
        <v>3</v>
      </c>
      <c r="M342">
        <v>11</v>
      </c>
      <c r="N342" t="s">
        <v>29</v>
      </c>
      <c r="O342">
        <v>4</v>
      </c>
      <c r="P342">
        <v>4</v>
      </c>
      <c r="Q342" t="s">
        <v>31</v>
      </c>
      <c r="R342">
        <v>23</v>
      </c>
      <c r="S342">
        <v>79</v>
      </c>
      <c r="T342">
        <v>45805</v>
      </c>
      <c r="U342">
        <v>4500</v>
      </c>
      <c r="V342">
        <v>12.5</v>
      </c>
      <c r="W342" t="s">
        <v>31</v>
      </c>
    </row>
    <row r="343" spans="1:23" x14ac:dyDescent="0.3">
      <c r="A343" t="s">
        <v>732</v>
      </c>
      <c r="B343" t="s">
        <v>1946</v>
      </c>
      <c r="C343">
        <v>38</v>
      </c>
      <c r="D343" t="s">
        <v>41</v>
      </c>
      <c r="E343" t="s">
        <v>71</v>
      </c>
      <c r="F343" t="s">
        <v>24</v>
      </c>
      <c r="G343" t="s">
        <v>43</v>
      </c>
      <c r="H343" t="s">
        <v>48</v>
      </c>
      <c r="I343" t="s">
        <v>27</v>
      </c>
      <c r="J343" t="s">
        <v>733</v>
      </c>
      <c r="K343">
        <v>2021</v>
      </c>
      <c r="L343">
        <v>3</v>
      </c>
      <c r="M343">
        <v>10</v>
      </c>
      <c r="N343" t="s">
        <v>29</v>
      </c>
      <c r="O343">
        <v>1</v>
      </c>
      <c r="P343">
        <v>5</v>
      </c>
      <c r="Q343" t="s">
        <v>31</v>
      </c>
      <c r="R343">
        <v>18</v>
      </c>
      <c r="S343">
        <v>18</v>
      </c>
      <c r="T343">
        <v>116890</v>
      </c>
      <c r="U343">
        <v>16200</v>
      </c>
      <c r="V343">
        <v>12.3</v>
      </c>
      <c r="W343" t="s">
        <v>31</v>
      </c>
    </row>
    <row r="344" spans="1:23" x14ac:dyDescent="0.3">
      <c r="A344" t="s">
        <v>734</v>
      </c>
      <c r="B344" t="s">
        <v>1885</v>
      </c>
      <c r="C344">
        <v>32</v>
      </c>
      <c r="D344" t="s">
        <v>41</v>
      </c>
      <c r="E344" t="s">
        <v>71</v>
      </c>
      <c r="F344" t="s">
        <v>62</v>
      </c>
      <c r="G344" t="s">
        <v>36</v>
      </c>
      <c r="H344" t="s">
        <v>76</v>
      </c>
      <c r="I344" t="s">
        <v>27</v>
      </c>
      <c r="J344" t="s">
        <v>735</v>
      </c>
      <c r="K344">
        <v>2021</v>
      </c>
      <c r="L344">
        <v>3</v>
      </c>
      <c r="M344">
        <v>7</v>
      </c>
      <c r="N344" t="s">
        <v>98</v>
      </c>
      <c r="O344">
        <v>5</v>
      </c>
      <c r="P344">
        <v>5</v>
      </c>
      <c r="Q344" t="s">
        <v>31</v>
      </c>
      <c r="R344">
        <v>10</v>
      </c>
      <c r="S344">
        <v>78</v>
      </c>
      <c r="T344">
        <v>58189</v>
      </c>
      <c r="U344">
        <v>3800</v>
      </c>
      <c r="V344">
        <v>11</v>
      </c>
      <c r="W344" t="s">
        <v>31</v>
      </c>
    </row>
    <row r="345" spans="1:23" x14ac:dyDescent="0.3">
      <c r="A345" t="s">
        <v>736</v>
      </c>
      <c r="B345" t="s">
        <v>2042</v>
      </c>
      <c r="C345">
        <v>30</v>
      </c>
      <c r="D345" t="s">
        <v>41</v>
      </c>
      <c r="E345" t="s">
        <v>71</v>
      </c>
      <c r="F345" t="s">
        <v>24</v>
      </c>
      <c r="G345" t="s">
        <v>36</v>
      </c>
      <c r="H345" t="s">
        <v>68</v>
      </c>
      <c r="I345" t="s">
        <v>79</v>
      </c>
      <c r="J345" t="s">
        <v>737</v>
      </c>
      <c r="K345">
        <v>2024</v>
      </c>
      <c r="L345">
        <v>0</v>
      </c>
      <c r="M345">
        <v>8</v>
      </c>
      <c r="N345" t="s">
        <v>29</v>
      </c>
      <c r="O345">
        <v>4</v>
      </c>
      <c r="P345">
        <v>2</v>
      </c>
      <c r="Q345" t="s">
        <v>31</v>
      </c>
      <c r="R345">
        <v>12</v>
      </c>
      <c r="S345">
        <v>23</v>
      </c>
      <c r="T345">
        <v>90430</v>
      </c>
      <c r="U345">
        <v>11400</v>
      </c>
      <c r="V345">
        <v>5.9</v>
      </c>
      <c r="W345" t="s">
        <v>31</v>
      </c>
    </row>
    <row r="346" spans="1:23" x14ac:dyDescent="0.3">
      <c r="A346" t="s">
        <v>738</v>
      </c>
      <c r="B346" t="s">
        <v>2043</v>
      </c>
      <c r="C346">
        <v>31</v>
      </c>
      <c r="D346" t="s">
        <v>41</v>
      </c>
      <c r="E346" t="s">
        <v>34</v>
      </c>
      <c r="F346" t="s">
        <v>35</v>
      </c>
      <c r="G346" t="s">
        <v>43</v>
      </c>
      <c r="H346" t="s">
        <v>72</v>
      </c>
      <c r="I346" t="s">
        <v>27</v>
      </c>
      <c r="J346" t="s">
        <v>739</v>
      </c>
      <c r="K346">
        <v>2021</v>
      </c>
      <c r="L346">
        <v>3</v>
      </c>
      <c r="M346">
        <v>5</v>
      </c>
      <c r="N346" t="s">
        <v>85</v>
      </c>
      <c r="O346">
        <v>5</v>
      </c>
      <c r="P346">
        <v>2</v>
      </c>
      <c r="Q346" t="s">
        <v>31</v>
      </c>
      <c r="R346">
        <v>5</v>
      </c>
      <c r="S346">
        <v>25</v>
      </c>
      <c r="T346">
        <v>117174</v>
      </c>
      <c r="U346">
        <v>19000</v>
      </c>
      <c r="V346">
        <v>5.4</v>
      </c>
      <c r="W346" t="s">
        <v>31</v>
      </c>
    </row>
    <row r="347" spans="1:23" x14ac:dyDescent="0.3">
      <c r="A347" t="s">
        <v>740</v>
      </c>
      <c r="B347" t="s">
        <v>2044</v>
      </c>
      <c r="C347">
        <v>33</v>
      </c>
      <c r="D347" t="s">
        <v>41</v>
      </c>
      <c r="E347" t="s">
        <v>71</v>
      </c>
      <c r="F347" t="s">
        <v>35</v>
      </c>
      <c r="G347" t="s">
        <v>63</v>
      </c>
      <c r="H347" t="s">
        <v>310</v>
      </c>
      <c r="I347" t="s">
        <v>65</v>
      </c>
      <c r="J347" t="s">
        <v>741</v>
      </c>
      <c r="K347">
        <v>2021</v>
      </c>
      <c r="L347">
        <v>3</v>
      </c>
      <c r="M347">
        <v>5</v>
      </c>
      <c r="N347" t="s">
        <v>85</v>
      </c>
      <c r="O347">
        <v>5</v>
      </c>
      <c r="P347">
        <v>4</v>
      </c>
      <c r="Q347" t="s">
        <v>31</v>
      </c>
      <c r="R347">
        <v>22</v>
      </c>
      <c r="S347">
        <v>8</v>
      </c>
      <c r="T347">
        <v>64000</v>
      </c>
      <c r="U347">
        <v>15000</v>
      </c>
      <c r="V347">
        <v>6.7</v>
      </c>
      <c r="W347" t="s">
        <v>31</v>
      </c>
    </row>
    <row r="348" spans="1:23" x14ac:dyDescent="0.3">
      <c r="A348" t="s">
        <v>742</v>
      </c>
      <c r="B348" t="s">
        <v>1847</v>
      </c>
      <c r="C348">
        <v>40</v>
      </c>
      <c r="D348" t="s">
        <v>41</v>
      </c>
      <c r="E348" t="s">
        <v>34</v>
      </c>
      <c r="F348" t="s">
        <v>35</v>
      </c>
      <c r="G348" t="s">
        <v>117</v>
      </c>
      <c r="H348" t="s">
        <v>298</v>
      </c>
      <c r="I348" t="s">
        <v>27</v>
      </c>
      <c r="J348" t="s">
        <v>743</v>
      </c>
      <c r="K348">
        <v>2022</v>
      </c>
      <c r="L348">
        <v>2</v>
      </c>
      <c r="M348">
        <v>13</v>
      </c>
      <c r="N348" t="s">
        <v>39</v>
      </c>
      <c r="O348">
        <v>1</v>
      </c>
      <c r="P348">
        <v>3</v>
      </c>
      <c r="Q348" t="s">
        <v>31</v>
      </c>
      <c r="R348">
        <v>4</v>
      </c>
      <c r="S348">
        <v>65</v>
      </c>
      <c r="T348">
        <v>83150</v>
      </c>
      <c r="U348">
        <v>2200</v>
      </c>
      <c r="V348">
        <v>3.6</v>
      </c>
      <c r="W348" t="s">
        <v>31</v>
      </c>
    </row>
    <row r="349" spans="1:23" x14ac:dyDescent="0.3">
      <c r="A349" t="s">
        <v>744</v>
      </c>
      <c r="B349" t="s">
        <v>1884</v>
      </c>
      <c r="C349">
        <v>27</v>
      </c>
      <c r="D349" t="s">
        <v>41</v>
      </c>
      <c r="E349" t="s">
        <v>71</v>
      </c>
      <c r="F349" t="s">
        <v>51</v>
      </c>
      <c r="G349" t="s">
        <v>43</v>
      </c>
      <c r="H349" t="s">
        <v>48</v>
      </c>
      <c r="I349" t="s">
        <v>27</v>
      </c>
      <c r="J349" t="s">
        <v>745</v>
      </c>
      <c r="K349">
        <v>2024</v>
      </c>
      <c r="L349">
        <v>0</v>
      </c>
      <c r="M349">
        <v>3</v>
      </c>
      <c r="N349" t="s">
        <v>29</v>
      </c>
      <c r="O349">
        <v>4</v>
      </c>
      <c r="P349">
        <v>4</v>
      </c>
      <c r="Q349" t="s">
        <v>31</v>
      </c>
      <c r="R349">
        <v>8</v>
      </c>
      <c r="S349">
        <v>74</v>
      </c>
      <c r="T349">
        <v>136736</v>
      </c>
      <c r="U349">
        <v>16500</v>
      </c>
      <c r="V349">
        <v>5.0999999999999996</v>
      </c>
      <c r="W349" t="s">
        <v>31</v>
      </c>
    </row>
    <row r="350" spans="1:23" x14ac:dyDescent="0.3">
      <c r="A350" t="s">
        <v>746</v>
      </c>
      <c r="B350" t="s">
        <v>2045</v>
      </c>
      <c r="C350">
        <v>36</v>
      </c>
      <c r="D350" t="s">
        <v>33</v>
      </c>
      <c r="E350" t="s">
        <v>56</v>
      </c>
      <c r="F350" t="s">
        <v>47</v>
      </c>
      <c r="G350" t="s">
        <v>25</v>
      </c>
      <c r="H350" t="s">
        <v>110</v>
      </c>
      <c r="I350" t="s">
        <v>27</v>
      </c>
      <c r="J350" t="s">
        <v>747</v>
      </c>
      <c r="K350">
        <v>2021</v>
      </c>
      <c r="L350">
        <v>3</v>
      </c>
      <c r="M350">
        <v>7</v>
      </c>
      <c r="N350" t="s">
        <v>29</v>
      </c>
      <c r="O350">
        <v>2</v>
      </c>
      <c r="P350">
        <v>1</v>
      </c>
      <c r="Q350" t="s">
        <v>31</v>
      </c>
      <c r="R350">
        <v>9</v>
      </c>
      <c r="S350">
        <v>56</v>
      </c>
      <c r="T350">
        <v>80945</v>
      </c>
      <c r="U350">
        <v>9400</v>
      </c>
      <c r="V350">
        <v>7.5</v>
      </c>
      <c r="W350" t="s">
        <v>31</v>
      </c>
    </row>
    <row r="351" spans="1:23" x14ac:dyDescent="0.3">
      <c r="A351" t="s">
        <v>748</v>
      </c>
      <c r="B351" t="s">
        <v>1987</v>
      </c>
      <c r="C351">
        <v>43</v>
      </c>
      <c r="D351" t="s">
        <v>41</v>
      </c>
      <c r="E351" t="s">
        <v>34</v>
      </c>
      <c r="F351" t="s">
        <v>24</v>
      </c>
      <c r="G351" t="s">
        <v>43</v>
      </c>
      <c r="H351" t="s">
        <v>96</v>
      </c>
      <c r="I351" t="s">
        <v>65</v>
      </c>
      <c r="J351" t="s">
        <v>749</v>
      </c>
      <c r="K351">
        <v>2023</v>
      </c>
      <c r="L351">
        <v>1</v>
      </c>
      <c r="M351">
        <v>15</v>
      </c>
      <c r="N351" t="s">
        <v>29</v>
      </c>
      <c r="O351">
        <v>3</v>
      </c>
      <c r="P351">
        <v>5</v>
      </c>
      <c r="Q351" t="s">
        <v>31</v>
      </c>
      <c r="R351">
        <v>16</v>
      </c>
      <c r="S351">
        <v>69</v>
      </c>
      <c r="T351">
        <v>135213</v>
      </c>
      <c r="U351">
        <v>15500</v>
      </c>
      <c r="V351">
        <v>5.2</v>
      </c>
      <c r="W351" t="s">
        <v>31</v>
      </c>
    </row>
    <row r="352" spans="1:23" x14ac:dyDescent="0.3">
      <c r="A352" t="s">
        <v>750</v>
      </c>
      <c r="B352" t="s">
        <v>2046</v>
      </c>
      <c r="C352">
        <v>34</v>
      </c>
      <c r="D352" t="s">
        <v>33</v>
      </c>
      <c r="E352" t="s">
        <v>71</v>
      </c>
      <c r="F352" t="s">
        <v>47</v>
      </c>
      <c r="G352" t="s">
        <v>117</v>
      </c>
      <c r="H352" t="s">
        <v>298</v>
      </c>
      <c r="I352" t="s">
        <v>27</v>
      </c>
      <c r="J352" t="s">
        <v>751</v>
      </c>
      <c r="K352">
        <v>2021</v>
      </c>
      <c r="L352">
        <v>3</v>
      </c>
      <c r="M352">
        <v>12</v>
      </c>
      <c r="N352" t="s">
        <v>85</v>
      </c>
      <c r="O352">
        <v>5</v>
      </c>
      <c r="P352">
        <v>2</v>
      </c>
      <c r="Q352" t="s">
        <v>31</v>
      </c>
      <c r="R352">
        <v>24</v>
      </c>
      <c r="S352">
        <v>69</v>
      </c>
      <c r="T352">
        <v>76873</v>
      </c>
      <c r="U352">
        <v>14300</v>
      </c>
      <c r="V352">
        <v>6.6</v>
      </c>
      <c r="W352" t="s">
        <v>31</v>
      </c>
    </row>
    <row r="353" spans="1:23" x14ac:dyDescent="0.3">
      <c r="A353" t="s">
        <v>752</v>
      </c>
      <c r="B353" t="s">
        <v>1983</v>
      </c>
      <c r="C353">
        <v>41</v>
      </c>
      <c r="D353" t="s">
        <v>41</v>
      </c>
      <c r="E353" t="s">
        <v>71</v>
      </c>
      <c r="F353" t="s">
        <v>75</v>
      </c>
      <c r="G353" t="s">
        <v>82</v>
      </c>
      <c r="H353" t="s">
        <v>138</v>
      </c>
      <c r="I353" t="s">
        <v>27</v>
      </c>
      <c r="J353" t="s">
        <v>753</v>
      </c>
      <c r="K353">
        <v>2023</v>
      </c>
      <c r="L353">
        <v>1</v>
      </c>
      <c r="M353">
        <v>19</v>
      </c>
      <c r="N353" t="s">
        <v>39</v>
      </c>
      <c r="O353">
        <v>5</v>
      </c>
      <c r="P353">
        <v>5</v>
      </c>
      <c r="Q353" t="s">
        <v>31</v>
      </c>
      <c r="R353">
        <v>17</v>
      </c>
      <c r="S353">
        <v>59</v>
      </c>
      <c r="T353">
        <v>78596</v>
      </c>
      <c r="U353">
        <v>2800</v>
      </c>
      <c r="V353">
        <v>13.4</v>
      </c>
      <c r="W353" t="s">
        <v>30</v>
      </c>
    </row>
    <row r="354" spans="1:23" x14ac:dyDescent="0.3">
      <c r="A354" t="s">
        <v>754</v>
      </c>
      <c r="B354" t="s">
        <v>2043</v>
      </c>
      <c r="C354">
        <v>39</v>
      </c>
      <c r="D354" t="s">
        <v>41</v>
      </c>
      <c r="E354" t="s">
        <v>34</v>
      </c>
      <c r="F354" t="s">
        <v>51</v>
      </c>
      <c r="G354" t="s">
        <v>117</v>
      </c>
      <c r="H354" t="s">
        <v>118</v>
      </c>
      <c r="I354" t="s">
        <v>79</v>
      </c>
      <c r="J354" t="s">
        <v>483</v>
      </c>
      <c r="K354">
        <v>2022</v>
      </c>
      <c r="L354">
        <v>2</v>
      </c>
      <c r="M354">
        <v>14</v>
      </c>
      <c r="N354" t="s">
        <v>85</v>
      </c>
      <c r="O354">
        <v>3</v>
      </c>
      <c r="P354">
        <v>3</v>
      </c>
      <c r="Q354" t="s">
        <v>31</v>
      </c>
      <c r="R354">
        <v>7</v>
      </c>
      <c r="S354">
        <v>53</v>
      </c>
      <c r="T354">
        <v>91598</v>
      </c>
      <c r="U354">
        <v>15700</v>
      </c>
      <c r="V354">
        <v>13.5</v>
      </c>
      <c r="W354" t="s">
        <v>31</v>
      </c>
    </row>
    <row r="355" spans="1:23" x14ac:dyDescent="0.3">
      <c r="A355" t="s">
        <v>755</v>
      </c>
      <c r="B355" t="s">
        <v>2047</v>
      </c>
      <c r="C355">
        <v>23</v>
      </c>
      <c r="D355" t="s">
        <v>33</v>
      </c>
      <c r="E355" t="s">
        <v>56</v>
      </c>
      <c r="F355" t="s">
        <v>153</v>
      </c>
      <c r="G355" t="s">
        <v>36</v>
      </c>
      <c r="H355" t="s">
        <v>89</v>
      </c>
      <c r="I355" t="s">
        <v>65</v>
      </c>
      <c r="J355" t="s">
        <v>671</v>
      </c>
      <c r="K355">
        <v>2023</v>
      </c>
      <c r="L355">
        <v>1</v>
      </c>
      <c r="M355">
        <v>1</v>
      </c>
      <c r="N355" t="s">
        <v>39</v>
      </c>
      <c r="O355">
        <v>2</v>
      </c>
      <c r="P355">
        <v>4</v>
      </c>
      <c r="Q355" t="s">
        <v>31</v>
      </c>
      <c r="R355">
        <v>2</v>
      </c>
      <c r="S355">
        <v>68</v>
      </c>
      <c r="T355">
        <v>55072</v>
      </c>
      <c r="U355">
        <v>2000</v>
      </c>
      <c r="V355">
        <v>9.8000000000000007</v>
      </c>
      <c r="W355" t="s">
        <v>31</v>
      </c>
    </row>
    <row r="356" spans="1:23" x14ac:dyDescent="0.3">
      <c r="A356" t="s">
        <v>756</v>
      </c>
      <c r="B356" t="s">
        <v>2043</v>
      </c>
      <c r="C356">
        <v>27</v>
      </c>
      <c r="D356" t="s">
        <v>41</v>
      </c>
      <c r="E356" t="s">
        <v>34</v>
      </c>
      <c r="F356" t="s">
        <v>153</v>
      </c>
      <c r="G356" t="s">
        <v>117</v>
      </c>
      <c r="H356" t="s">
        <v>118</v>
      </c>
      <c r="I356" t="s">
        <v>27</v>
      </c>
      <c r="J356" t="s">
        <v>757</v>
      </c>
      <c r="K356">
        <v>2024</v>
      </c>
      <c r="L356">
        <v>0</v>
      </c>
      <c r="M356">
        <v>3</v>
      </c>
      <c r="N356" t="s">
        <v>85</v>
      </c>
      <c r="O356">
        <v>2</v>
      </c>
      <c r="P356">
        <v>3</v>
      </c>
      <c r="Q356" t="s">
        <v>30</v>
      </c>
      <c r="R356">
        <v>21</v>
      </c>
      <c r="S356">
        <v>67</v>
      </c>
      <c r="T356">
        <v>91235</v>
      </c>
      <c r="U356">
        <v>20600</v>
      </c>
      <c r="V356">
        <v>10.199999999999999</v>
      </c>
      <c r="W356" t="s">
        <v>30</v>
      </c>
    </row>
    <row r="357" spans="1:23" x14ac:dyDescent="0.3">
      <c r="A357" t="s">
        <v>758</v>
      </c>
      <c r="B357" t="s">
        <v>2048</v>
      </c>
      <c r="C357">
        <v>42</v>
      </c>
      <c r="D357" t="s">
        <v>41</v>
      </c>
      <c r="E357" t="s">
        <v>34</v>
      </c>
      <c r="F357" t="s">
        <v>75</v>
      </c>
      <c r="G357" t="s">
        <v>36</v>
      </c>
      <c r="H357" t="s">
        <v>76</v>
      </c>
      <c r="I357" t="s">
        <v>27</v>
      </c>
      <c r="J357" t="s">
        <v>599</v>
      </c>
      <c r="K357">
        <v>2021</v>
      </c>
      <c r="L357">
        <v>3</v>
      </c>
      <c r="M357">
        <v>14</v>
      </c>
      <c r="N357" t="s">
        <v>85</v>
      </c>
      <c r="O357">
        <v>2</v>
      </c>
      <c r="P357">
        <v>3</v>
      </c>
      <c r="Q357" t="s">
        <v>31</v>
      </c>
      <c r="R357">
        <v>13</v>
      </c>
      <c r="S357">
        <v>60</v>
      </c>
      <c r="T357">
        <v>52257</v>
      </c>
      <c r="U357">
        <v>10100</v>
      </c>
      <c r="V357">
        <v>11.9</v>
      </c>
      <c r="W357" t="s">
        <v>31</v>
      </c>
    </row>
    <row r="358" spans="1:23" x14ac:dyDescent="0.3">
      <c r="A358" t="s">
        <v>759</v>
      </c>
      <c r="B358" t="s">
        <v>2049</v>
      </c>
      <c r="C358">
        <v>41</v>
      </c>
      <c r="D358" t="s">
        <v>33</v>
      </c>
      <c r="E358" t="s">
        <v>34</v>
      </c>
      <c r="F358" t="s">
        <v>62</v>
      </c>
      <c r="G358" t="s">
        <v>117</v>
      </c>
      <c r="H358" t="s">
        <v>198</v>
      </c>
      <c r="I358" t="s">
        <v>79</v>
      </c>
      <c r="J358" t="s">
        <v>760</v>
      </c>
      <c r="K358">
        <v>2022</v>
      </c>
      <c r="L358">
        <v>2</v>
      </c>
      <c r="M358">
        <v>15</v>
      </c>
      <c r="N358" t="s">
        <v>29</v>
      </c>
      <c r="O358">
        <v>4</v>
      </c>
      <c r="P358">
        <v>4</v>
      </c>
      <c r="Q358" t="s">
        <v>31</v>
      </c>
      <c r="R358">
        <v>18</v>
      </c>
      <c r="S358">
        <v>5</v>
      </c>
      <c r="T358">
        <v>64351</v>
      </c>
      <c r="U358">
        <v>8700</v>
      </c>
      <c r="V358">
        <v>10.3</v>
      </c>
      <c r="W358" t="s">
        <v>31</v>
      </c>
    </row>
    <row r="359" spans="1:23" x14ac:dyDescent="0.3">
      <c r="A359" t="s">
        <v>761</v>
      </c>
      <c r="B359" t="s">
        <v>1935</v>
      </c>
      <c r="C359">
        <v>38</v>
      </c>
      <c r="D359" t="s">
        <v>41</v>
      </c>
      <c r="E359" t="s">
        <v>71</v>
      </c>
      <c r="F359" t="s">
        <v>35</v>
      </c>
      <c r="G359" t="s">
        <v>43</v>
      </c>
      <c r="H359" t="s">
        <v>72</v>
      </c>
      <c r="I359" t="s">
        <v>27</v>
      </c>
      <c r="J359" t="s">
        <v>762</v>
      </c>
      <c r="K359">
        <v>2024</v>
      </c>
      <c r="L359">
        <v>0</v>
      </c>
      <c r="M359">
        <v>10</v>
      </c>
      <c r="N359" t="s">
        <v>29</v>
      </c>
      <c r="O359">
        <v>1</v>
      </c>
      <c r="P359">
        <v>4</v>
      </c>
      <c r="Q359" t="s">
        <v>31</v>
      </c>
      <c r="R359">
        <v>22</v>
      </c>
      <c r="S359">
        <v>5</v>
      </c>
      <c r="T359">
        <v>92954</v>
      </c>
      <c r="U359">
        <v>9700</v>
      </c>
      <c r="V359">
        <v>10.4</v>
      </c>
      <c r="W359" t="s">
        <v>31</v>
      </c>
    </row>
    <row r="360" spans="1:23" x14ac:dyDescent="0.3">
      <c r="A360" t="s">
        <v>763</v>
      </c>
      <c r="B360" t="s">
        <v>2050</v>
      </c>
      <c r="C360">
        <v>36</v>
      </c>
      <c r="D360" t="s">
        <v>33</v>
      </c>
      <c r="E360" t="s">
        <v>34</v>
      </c>
      <c r="F360" t="s">
        <v>24</v>
      </c>
      <c r="G360" t="s">
        <v>36</v>
      </c>
      <c r="H360" t="s">
        <v>37</v>
      </c>
      <c r="I360" t="s">
        <v>27</v>
      </c>
      <c r="J360" t="s">
        <v>764</v>
      </c>
      <c r="K360">
        <v>2023</v>
      </c>
      <c r="L360">
        <v>1</v>
      </c>
      <c r="M360">
        <v>7</v>
      </c>
      <c r="N360" t="s">
        <v>29</v>
      </c>
      <c r="O360">
        <v>2</v>
      </c>
      <c r="P360">
        <v>3</v>
      </c>
      <c r="Q360" t="s">
        <v>31</v>
      </c>
      <c r="R360">
        <v>6</v>
      </c>
      <c r="S360">
        <v>64</v>
      </c>
      <c r="T360">
        <v>94929</v>
      </c>
      <c r="U360">
        <v>13600</v>
      </c>
      <c r="V360">
        <v>3.9</v>
      </c>
      <c r="W360" t="s">
        <v>31</v>
      </c>
    </row>
    <row r="361" spans="1:23" x14ac:dyDescent="0.3">
      <c r="A361" t="s">
        <v>765</v>
      </c>
      <c r="B361" t="s">
        <v>2051</v>
      </c>
      <c r="C361">
        <v>38</v>
      </c>
      <c r="D361" t="s">
        <v>41</v>
      </c>
      <c r="E361" t="s">
        <v>34</v>
      </c>
      <c r="F361" t="s">
        <v>51</v>
      </c>
      <c r="G361" t="s">
        <v>43</v>
      </c>
      <c r="H361" t="s">
        <v>72</v>
      </c>
      <c r="I361" t="s">
        <v>27</v>
      </c>
      <c r="J361" t="s">
        <v>766</v>
      </c>
      <c r="K361">
        <v>2024</v>
      </c>
      <c r="L361">
        <v>0</v>
      </c>
      <c r="M361">
        <v>13</v>
      </c>
      <c r="N361" t="s">
        <v>29</v>
      </c>
      <c r="O361">
        <v>5</v>
      </c>
      <c r="P361">
        <v>2</v>
      </c>
      <c r="Q361" t="s">
        <v>31</v>
      </c>
      <c r="R361">
        <v>22</v>
      </c>
      <c r="S361">
        <v>56</v>
      </c>
      <c r="T361">
        <v>71407</v>
      </c>
      <c r="U361">
        <v>9300</v>
      </c>
      <c r="V361">
        <v>4.5999999999999996</v>
      </c>
      <c r="W361" t="s">
        <v>31</v>
      </c>
    </row>
    <row r="362" spans="1:23" x14ac:dyDescent="0.3">
      <c r="A362" t="s">
        <v>767</v>
      </c>
      <c r="B362" t="s">
        <v>1860</v>
      </c>
      <c r="C362">
        <v>24</v>
      </c>
      <c r="D362" t="s">
        <v>41</v>
      </c>
      <c r="E362" t="s">
        <v>34</v>
      </c>
      <c r="F362" t="s">
        <v>35</v>
      </c>
      <c r="G362" t="s">
        <v>25</v>
      </c>
      <c r="H362" t="s">
        <v>205</v>
      </c>
      <c r="I362" t="s">
        <v>27</v>
      </c>
      <c r="J362" t="s">
        <v>768</v>
      </c>
      <c r="K362">
        <v>2022</v>
      </c>
      <c r="L362">
        <v>2</v>
      </c>
      <c r="M362">
        <v>1</v>
      </c>
      <c r="N362" t="s">
        <v>29</v>
      </c>
      <c r="O362">
        <v>2</v>
      </c>
      <c r="P362">
        <v>2</v>
      </c>
      <c r="Q362" t="s">
        <v>31</v>
      </c>
      <c r="R362">
        <v>22</v>
      </c>
      <c r="S362">
        <v>4</v>
      </c>
      <c r="T362">
        <v>63136</v>
      </c>
      <c r="U362">
        <v>7200</v>
      </c>
      <c r="V362">
        <v>3.9</v>
      </c>
      <c r="W362" t="s">
        <v>31</v>
      </c>
    </row>
    <row r="363" spans="1:23" x14ac:dyDescent="0.3">
      <c r="A363" t="s">
        <v>769</v>
      </c>
      <c r="B363" t="s">
        <v>2052</v>
      </c>
      <c r="C363">
        <v>39</v>
      </c>
      <c r="D363" t="s">
        <v>41</v>
      </c>
      <c r="E363" t="s">
        <v>34</v>
      </c>
      <c r="F363" t="s">
        <v>75</v>
      </c>
      <c r="G363" t="s">
        <v>43</v>
      </c>
      <c r="H363" t="s">
        <v>44</v>
      </c>
      <c r="I363" t="s">
        <v>27</v>
      </c>
      <c r="J363" t="s">
        <v>770</v>
      </c>
      <c r="K363">
        <v>2021</v>
      </c>
      <c r="L363">
        <v>3</v>
      </c>
      <c r="M363">
        <v>10</v>
      </c>
      <c r="N363" t="s">
        <v>85</v>
      </c>
      <c r="O363">
        <v>4</v>
      </c>
      <c r="P363">
        <v>1</v>
      </c>
      <c r="Q363" t="s">
        <v>31</v>
      </c>
      <c r="R363">
        <v>0</v>
      </c>
      <c r="S363">
        <v>43</v>
      </c>
      <c r="T363">
        <v>70611</v>
      </c>
      <c r="U363">
        <v>13400</v>
      </c>
      <c r="V363">
        <v>5.4</v>
      </c>
      <c r="W363" t="s">
        <v>31</v>
      </c>
    </row>
    <row r="364" spans="1:23" x14ac:dyDescent="0.3">
      <c r="A364" t="s">
        <v>771</v>
      </c>
      <c r="B364" t="s">
        <v>1929</v>
      </c>
      <c r="C364">
        <v>28</v>
      </c>
      <c r="D364" t="s">
        <v>33</v>
      </c>
      <c r="E364" t="s">
        <v>34</v>
      </c>
      <c r="F364" t="s">
        <v>153</v>
      </c>
      <c r="G364" t="s">
        <v>100</v>
      </c>
      <c r="H364" t="s">
        <v>145</v>
      </c>
      <c r="I364" t="s">
        <v>65</v>
      </c>
      <c r="J364" t="s">
        <v>772</v>
      </c>
      <c r="K364">
        <v>2021</v>
      </c>
      <c r="L364">
        <v>3</v>
      </c>
      <c r="M364">
        <v>6</v>
      </c>
      <c r="N364" t="s">
        <v>98</v>
      </c>
      <c r="O364">
        <v>1</v>
      </c>
      <c r="P364">
        <v>2</v>
      </c>
      <c r="Q364" t="s">
        <v>31</v>
      </c>
      <c r="R364">
        <v>6</v>
      </c>
      <c r="S364">
        <v>13</v>
      </c>
      <c r="T364">
        <v>47057</v>
      </c>
      <c r="U364">
        <v>3100</v>
      </c>
      <c r="V364">
        <v>10.5</v>
      </c>
      <c r="W364" t="s">
        <v>31</v>
      </c>
    </row>
    <row r="365" spans="1:23" x14ac:dyDescent="0.3">
      <c r="A365" t="s">
        <v>773</v>
      </c>
      <c r="B365" t="s">
        <v>2053</v>
      </c>
      <c r="C365">
        <v>36</v>
      </c>
      <c r="D365" t="s">
        <v>41</v>
      </c>
      <c r="E365" t="s">
        <v>34</v>
      </c>
      <c r="F365" t="s">
        <v>47</v>
      </c>
      <c r="G365" t="s">
        <v>82</v>
      </c>
      <c r="H365" t="s">
        <v>138</v>
      </c>
      <c r="I365" t="s">
        <v>27</v>
      </c>
      <c r="J365" t="s">
        <v>28</v>
      </c>
      <c r="K365">
        <v>2023</v>
      </c>
      <c r="L365">
        <v>1</v>
      </c>
      <c r="M365">
        <v>7</v>
      </c>
      <c r="N365" t="s">
        <v>98</v>
      </c>
      <c r="O365">
        <v>4</v>
      </c>
      <c r="P365">
        <v>1</v>
      </c>
      <c r="Q365" t="s">
        <v>30</v>
      </c>
      <c r="R365">
        <v>22</v>
      </c>
      <c r="S365">
        <v>68</v>
      </c>
      <c r="T365">
        <v>88120</v>
      </c>
      <c r="U365">
        <v>6500</v>
      </c>
      <c r="V365">
        <v>7.4</v>
      </c>
      <c r="W365" t="s">
        <v>30</v>
      </c>
    </row>
    <row r="366" spans="1:23" x14ac:dyDescent="0.3">
      <c r="A366" t="s">
        <v>774</v>
      </c>
      <c r="B366" t="s">
        <v>1846</v>
      </c>
      <c r="C366">
        <v>37</v>
      </c>
      <c r="D366" t="s">
        <v>41</v>
      </c>
      <c r="E366" t="s">
        <v>34</v>
      </c>
      <c r="F366" t="s">
        <v>51</v>
      </c>
      <c r="G366" t="s">
        <v>43</v>
      </c>
      <c r="H366" t="s">
        <v>44</v>
      </c>
      <c r="I366" t="s">
        <v>27</v>
      </c>
      <c r="J366" t="s">
        <v>775</v>
      </c>
      <c r="K366">
        <v>2023</v>
      </c>
      <c r="L366">
        <v>1</v>
      </c>
      <c r="M366">
        <v>13</v>
      </c>
      <c r="N366" t="s">
        <v>39</v>
      </c>
      <c r="O366">
        <v>2</v>
      </c>
      <c r="P366">
        <v>5</v>
      </c>
      <c r="Q366" t="s">
        <v>31</v>
      </c>
      <c r="R366">
        <v>18</v>
      </c>
      <c r="S366">
        <v>1</v>
      </c>
      <c r="T366">
        <v>111676</v>
      </c>
      <c r="U366">
        <v>3600</v>
      </c>
      <c r="V366">
        <v>3.8</v>
      </c>
      <c r="W366" t="s">
        <v>30</v>
      </c>
    </row>
    <row r="367" spans="1:23" x14ac:dyDescent="0.3">
      <c r="A367" t="s">
        <v>776</v>
      </c>
      <c r="B367" t="s">
        <v>1992</v>
      </c>
      <c r="C367">
        <v>39</v>
      </c>
      <c r="D367" t="s">
        <v>41</v>
      </c>
      <c r="E367" t="s">
        <v>71</v>
      </c>
      <c r="F367" t="s">
        <v>75</v>
      </c>
      <c r="G367" t="s">
        <v>100</v>
      </c>
      <c r="H367" t="s">
        <v>145</v>
      </c>
      <c r="I367" t="s">
        <v>65</v>
      </c>
      <c r="J367" t="s">
        <v>777</v>
      </c>
      <c r="K367">
        <v>2021</v>
      </c>
      <c r="L367">
        <v>3</v>
      </c>
      <c r="M367">
        <v>14</v>
      </c>
      <c r="N367" t="s">
        <v>85</v>
      </c>
      <c r="O367">
        <v>5</v>
      </c>
      <c r="P367">
        <v>4</v>
      </c>
      <c r="Q367" t="s">
        <v>31</v>
      </c>
      <c r="R367">
        <v>23</v>
      </c>
      <c r="S367">
        <v>42</v>
      </c>
      <c r="T367">
        <v>43927</v>
      </c>
      <c r="U367">
        <v>8800</v>
      </c>
      <c r="V367">
        <v>5.4</v>
      </c>
      <c r="W367" t="s">
        <v>31</v>
      </c>
    </row>
    <row r="368" spans="1:23" x14ac:dyDescent="0.3">
      <c r="A368" t="s">
        <v>778</v>
      </c>
      <c r="B368" t="s">
        <v>1872</v>
      </c>
      <c r="C368">
        <v>40</v>
      </c>
      <c r="D368" t="s">
        <v>41</v>
      </c>
      <c r="E368" t="s">
        <v>61</v>
      </c>
      <c r="F368" t="s">
        <v>75</v>
      </c>
      <c r="G368" t="s">
        <v>43</v>
      </c>
      <c r="H368" t="s">
        <v>44</v>
      </c>
      <c r="I368" t="s">
        <v>79</v>
      </c>
      <c r="J368" t="s">
        <v>779</v>
      </c>
      <c r="K368">
        <v>2021</v>
      </c>
      <c r="L368">
        <v>3</v>
      </c>
      <c r="M368">
        <v>14</v>
      </c>
      <c r="N368" t="s">
        <v>98</v>
      </c>
      <c r="O368">
        <v>2</v>
      </c>
      <c r="P368">
        <v>5</v>
      </c>
      <c r="Q368" t="s">
        <v>31</v>
      </c>
      <c r="R368">
        <v>12</v>
      </c>
      <c r="S368">
        <v>66</v>
      </c>
      <c r="T368">
        <v>100016</v>
      </c>
      <c r="U368">
        <v>6500</v>
      </c>
      <c r="V368">
        <v>5.9</v>
      </c>
      <c r="W368" t="s">
        <v>31</v>
      </c>
    </row>
    <row r="369" spans="1:23" x14ac:dyDescent="0.3">
      <c r="A369" t="s">
        <v>780</v>
      </c>
      <c r="B369" t="s">
        <v>2054</v>
      </c>
      <c r="C369">
        <v>29</v>
      </c>
      <c r="D369" t="s">
        <v>41</v>
      </c>
      <c r="E369" t="s">
        <v>71</v>
      </c>
      <c r="F369" t="s">
        <v>42</v>
      </c>
      <c r="G369" t="s">
        <v>25</v>
      </c>
      <c r="H369" t="s">
        <v>58</v>
      </c>
      <c r="I369" t="s">
        <v>27</v>
      </c>
      <c r="J369" t="s">
        <v>781</v>
      </c>
      <c r="K369">
        <v>2021</v>
      </c>
      <c r="L369">
        <v>3</v>
      </c>
      <c r="M369">
        <v>7</v>
      </c>
      <c r="N369" t="s">
        <v>39</v>
      </c>
      <c r="O369">
        <v>4</v>
      </c>
      <c r="P369">
        <v>3</v>
      </c>
      <c r="Q369" t="s">
        <v>30</v>
      </c>
      <c r="R369">
        <v>5</v>
      </c>
      <c r="S369">
        <v>25</v>
      </c>
      <c r="T369">
        <v>64275</v>
      </c>
      <c r="U369">
        <v>1600</v>
      </c>
      <c r="V369">
        <v>5.0999999999999996</v>
      </c>
      <c r="W369" t="s">
        <v>31</v>
      </c>
    </row>
    <row r="370" spans="1:23" x14ac:dyDescent="0.3">
      <c r="A370" t="s">
        <v>782</v>
      </c>
      <c r="B370" t="s">
        <v>2026</v>
      </c>
      <c r="C370">
        <v>40</v>
      </c>
      <c r="D370" t="s">
        <v>41</v>
      </c>
      <c r="E370" t="s">
        <v>34</v>
      </c>
      <c r="F370" t="s">
        <v>42</v>
      </c>
      <c r="G370" t="s">
        <v>36</v>
      </c>
      <c r="H370" t="s">
        <v>37</v>
      </c>
      <c r="I370" t="s">
        <v>27</v>
      </c>
      <c r="J370" t="s">
        <v>783</v>
      </c>
      <c r="K370">
        <v>2023</v>
      </c>
      <c r="L370">
        <v>1</v>
      </c>
      <c r="M370">
        <v>15</v>
      </c>
      <c r="N370" t="s">
        <v>85</v>
      </c>
      <c r="O370">
        <v>4</v>
      </c>
      <c r="P370">
        <v>2</v>
      </c>
      <c r="Q370" t="s">
        <v>31</v>
      </c>
      <c r="R370">
        <v>15</v>
      </c>
      <c r="S370">
        <v>2</v>
      </c>
      <c r="T370">
        <v>76534</v>
      </c>
      <c r="U370">
        <v>18200</v>
      </c>
      <c r="V370">
        <v>7.8</v>
      </c>
      <c r="W370" t="s">
        <v>31</v>
      </c>
    </row>
    <row r="371" spans="1:23" x14ac:dyDescent="0.3">
      <c r="A371" t="s">
        <v>784</v>
      </c>
      <c r="B371" t="s">
        <v>1884</v>
      </c>
      <c r="C371">
        <v>35</v>
      </c>
      <c r="D371" t="s">
        <v>41</v>
      </c>
      <c r="E371" t="s">
        <v>71</v>
      </c>
      <c r="F371" t="s">
        <v>24</v>
      </c>
      <c r="G371" t="s">
        <v>63</v>
      </c>
      <c r="H371" t="s">
        <v>225</v>
      </c>
      <c r="I371" t="s">
        <v>27</v>
      </c>
      <c r="J371" t="s">
        <v>785</v>
      </c>
      <c r="K371">
        <v>2023</v>
      </c>
      <c r="L371">
        <v>1</v>
      </c>
      <c r="M371">
        <v>5</v>
      </c>
      <c r="N371" t="s">
        <v>29</v>
      </c>
      <c r="O371">
        <v>4</v>
      </c>
      <c r="P371">
        <v>2</v>
      </c>
      <c r="Q371" t="s">
        <v>31</v>
      </c>
      <c r="R371">
        <v>4</v>
      </c>
      <c r="S371">
        <v>24</v>
      </c>
      <c r="T371">
        <v>43430</v>
      </c>
      <c r="U371">
        <v>4800</v>
      </c>
      <c r="V371">
        <v>6.4</v>
      </c>
      <c r="W371" t="s">
        <v>31</v>
      </c>
    </row>
    <row r="372" spans="1:23" x14ac:dyDescent="0.3">
      <c r="A372" t="s">
        <v>786</v>
      </c>
      <c r="B372" t="s">
        <v>2055</v>
      </c>
      <c r="C372">
        <v>42</v>
      </c>
      <c r="D372" t="s">
        <v>41</v>
      </c>
      <c r="E372" t="s">
        <v>23</v>
      </c>
      <c r="F372" t="s">
        <v>57</v>
      </c>
      <c r="G372" t="s">
        <v>82</v>
      </c>
      <c r="H372" t="s">
        <v>286</v>
      </c>
      <c r="I372" t="s">
        <v>27</v>
      </c>
      <c r="J372" t="s">
        <v>787</v>
      </c>
      <c r="K372">
        <v>2023</v>
      </c>
      <c r="L372">
        <v>1</v>
      </c>
      <c r="M372">
        <v>14</v>
      </c>
      <c r="N372" t="s">
        <v>29</v>
      </c>
      <c r="O372">
        <v>5</v>
      </c>
      <c r="P372">
        <v>2</v>
      </c>
      <c r="Q372" t="s">
        <v>31</v>
      </c>
      <c r="R372">
        <v>6</v>
      </c>
      <c r="S372">
        <v>55</v>
      </c>
      <c r="T372">
        <v>69454</v>
      </c>
      <c r="U372">
        <v>7700</v>
      </c>
      <c r="V372">
        <v>14.9</v>
      </c>
      <c r="W372" t="s">
        <v>30</v>
      </c>
    </row>
    <row r="373" spans="1:23" x14ac:dyDescent="0.3">
      <c r="A373" t="s">
        <v>788</v>
      </c>
      <c r="B373" t="s">
        <v>2056</v>
      </c>
      <c r="C373">
        <v>43</v>
      </c>
      <c r="D373" t="s">
        <v>33</v>
      </c>
      <c r="E373" t="s">
        <v>71</v>
      </c>
      <c r="F373" t="s">
        <v>24</v>
      </c>
      <c r="G373" t="s">
        <v>25</v>
      </c>
      <c r="H373" t="s">
        <v>58</v>
      </c>
      <c r="I373" t="s">
        <v>27</v>
      </c>
      <c r="J373" t="s">
        <v>467</v>
      </c>
      <c r="K373">
        <v>2023</v>
      </c>
      <c r="L373">
        <v>1</v>
      </c>
      <c r="M373">
        <v>16</v>
      </c>
      <c r="N373" t="s">
        <v>29</v>
      </c>
      <c r="O373">
        <v>1</v>
      </c>
      <c r="P373">
        <v>2</v>
      </c>
      <c r="Q373" t="s">
        <v>31</v>
      </c>
      <c r="R373">
        <v>8</v>
      </c>
      <c r="S373">
        <v>77</v>
      </c>
      <c r="T373">
        <v>97657</v>
      </c>
      <c r="U373">
        <v>11400</v>
      </c>
      <c r="V373">
        <v>6</v>
      </c>
      <c r="W373" t="s">
        <v>31</v>
      </c>
    </row>
    <row r="374" spans="1:23" x14ac:dyDescent="0.3">
      <c r="A374" t="s">
        <v>789</v>
      </c>
      <c r="B374" t="s">
        <v>2050</v>
      </c>
      <c r="C374">
        <v>28</v>
      </c>
      <c r="D374" t="s">
        <v>33</v>
      </c>
      <c r="E374" t="s">
        <v>34</v>
      </c>
      <c r="F374" t="s">
        <v>42</v>
      </c>
      <c r="G374" t="s">
        <v>52</v>
      </c>
      <c r="H374" t="s">
        <v>320</v>
      </c>
      <c r="I374" t="s">
        <v>65</v>
      </c>
      <c r="J374" t="s">
        <v>790</v>
      </c>
      <c r="K374">
        <v>2022</v>
      </c>
      <c r="L374">
        <v>2</v>
      </c>
      <c r="M374">
        <v>6</v>
      </c>
      <c r="N374" t="s">
        <v>29</v>
      </c>
      <c r="O374">
        <v>4</v>
      </c>
      <c r="P374">
        <v>2</v>
      </c>
      <c r="Q374" t="s">
        <v>31</v>
      </c>
      <c r="R374">
        <v>13</v>
      </c>
      <c r="S374">
        <v>32</v>
      </c>
      <c r="T374">
        <v>51049</v>
      </c>
      <c r="U374">
        <v>7100</v>
      </c>
      <c r="V374">
        <v>7.8</v>
      </c>
      <c r="W374" t="s">
        <v>31</v>
      </c>
    </row>
    <row r="375" spans="1:23" x14ac:dyDescent="0.3">
      <c r="A375" t="s">
        <v>791</v>
      </c>
      <c r="B375" t="s">
        <v>2057</v>
      </c>
      <c r="C375">
        <v>37</v>
      </c>
      <c r="D375" t="s">
        <v>41</v>
      </c>
      <c r="E375" t="s">
        <v>34</v>
      </c>
      <c r="F375" t="s">
        <v>153</v>
      </c>
      <c r="G375" t="s">
        <v>25</v>
      </c>
      <c r="H375" t="s">
        <v>58</v>
      </c>
      <c r="I375" t="s">
        <v>27</v>
      </c>
      <c r="J375" t="s">
        <v>792</v>
      </c>
      <c r="K375">
        <v>2024</v>
      </c>
      <c r="L375">
        <v>0</v>
      </c>
      <c r="M375">
        <v>14</v>
      </c>
      <c r="N375" t="s">
        <v>98</v>
      </c>
      <c r="O375">
        <v>1</v>
      </c>
      <c r="P375">
        <v>2</v>
      </c>
      <c r="Q375" t="s">
        <v>31</v>
      </c>
      <c r="R375">
        <v>15</v>
      </c>
      <c r="S375">
        <v>0</v>
      </c>
      <c r="T375">
        <v>92526</v>
      </c>
      <c r="U375">
        <v>6100</v>
      </c>
      <c r="V375">
        <v>4.7</v>
      </c>
      <c r="W375" t="s">
        <v>31</v>
      </c>
    </row>
    <row r="376" spans="1:23" x14ac:dyDescent="0.3">
      <c r="A376" t="s">
        <v>793</v>
      </c>
      <c r="B376" t="s">
        <v>1962</v>
      </c>
      <c r="C376">
        <v>38</v>
      </c>
      <c r="D376" t="s">
        <v>41</v>
      </c>
      <c r="E376" t="s">
        <v>34</v>
      </c>
      <c r="F376" t="s">
        <v>75</v>
      </c>
      <c r="G376" t="s">
        <v>43</v>
      </c>
      <c r="H376" t="s">
        <v>72</v>
      </c>
      <c r="I376" t="s">
        <v>27</v>
      </c>
      <c r="J376" t="s">
        <v>757</v>
      </c>
      <c r="K376">
        <v>2024</v>
      </c>
      <c r="L376">
        <v>0</v>
      </c>
      <c r="M376">
        <v>14</v>
      </c>
      <c r="N376" t="s">
        <v>98</v>
      </c>
      <c r="O376">
        <v>1</v>
      </c>
      <c r="P376">
        <v>2</v>
      </c>
      <c r="Q376" t="s">
        <v>31</v>
      </c>
      <c r="R376">
        <v>24</v>
      </c>
      <c r="S376">
        <v>24</v>
      </c>
      <c r="T376">
        <v>94431</v>
      </c>
      <c r="U376">
        <v>5800</v>
      </c>
      <c r="V376">
        <v>5.2</v>
      </c>
      <c r="W376" t="s">
        <v>31</v>
      </c>
    </row>
    <row r="377" spans="1:23" x14ac:dyDescent="0.3">
      <c r="A377" t="s">
        <v>794</v>
      </c>
      <c r="B377" t="s">
        <v>2058</v>
      </c>
      <c r="C377">
        <v>29</v>
      </c>
      <c r="D377" t="s">
        <v>22</v>
      </c>
      <c r="E377" t="s">
        <v>34</v>
      </c>
      <c r="F377" t="s">
        <v>57</v>
      </c>
      <c r="G377" t="s">
        <v>36</v>
      </c>
      <c r="H377" t="s">
        <v>68</v>
      </c>
      <c r="I377" t="s">
        <v>27</v>
      </c>
      <c r="J377" t="s">
        <v>772</v>
      </c>
      <c r="K377">
        <v>2021</v>
      </c>
      <c r="L377">
        <v>3</v>
      </c>
      <c r="M377">
        <v>3</v>
      </c>
      <c r="N377" t="s">
        <v>29</v>
      </c>
      <c r="O377">
        <v>3</v>
      </c>
      <c r="P377">
        <v>1</v>
      </c>
      <c r="Q377" t="s">
        <v>31</v>
      </c>
      <c r="R377">
        <v>21</v>
      </c>
      <c r="S377">
        <v>74</v>
      </c>
      <c r="T377">
        <v>53171</v>
      </c>
      <c r="U377">
        <v>6000</v>
      </c>
      <c r="V377">
        <v>10</v>
      </c>
      <c r="W377" t="s">
        <v>31</v>
      </c>
    </row>
    <row r="378" spans="1:23" x14ac:dyDescent="0.3">
      <c r="A378" t="s">
        <v>795</v>
      </c>
      <c r="B378" t="s">
        <v>2059</v>
      </c>
      <c r="C378">
        <v>43</v>
      </c>
      <c r="D378" t="s">
        <v>41</v>
      </c>
      <c r="E378" t="s">
        <v>56</v>
      </c>
      <c r="F378" t="s">
        <v>24</v>
      </c>
      <c r="G378" t="s">
        <v>25</v>
      </c>
      <c r="H378" t="s">
        <v>26</v>
      </c>
      <c r="I378" t="s">
        <v>79</v>
      </c>
      <c r="J378" t="s">
        <v>796</v>
      </c>
      <c r="K378">
        <v>2021</v>
      </c>
      <c r="L378">
        <v>3</v>
      </c>
      <c r="M378">
        <v>17</v>
      </c>
      <c r="N378" t="s">
        <v>98</v>
      </c>
      <c r="O378">
        <v>3</v>
      </c>
      <c r="P378">
        <v>4</v>
      </c>
      <c r="Q378" t="s">
        <v>31</v>
      </c>
      <c r="R378">
        <v>12</v>
      </c>
      <c r="S378">
        <v>78</v>
      </c>
      <c r="T378">
        <v>86013</v>
      </c>
      <c r="U378">
        <v>6300</v>
      </c>
      <c r="V378">
        <v>7</v>
      </c>
      <c r="W378" t="s">
        <v>31</v>
      </c>
    </row>
    <row r="379" spans="1:23" x14ac:dyDescent="0.3">
      <c r="A379" t="s">
        <v>797</v>
      </c>
      <c r="B379" t="s">
        <v>2060</v>
      </c>
      <c r="C379">
        <v>37</v>
      </c>
      <c r="D379" t="s">
        <v>22</v>
      </c>
      <c r="E379" t="s">
        <v>34</v>
      </c>
      <c r="F379" t="s">
        <v>62</v>
      </c>
      <c r="G379" t="s">
        <v>43</v>
      </c>
      <c r="H379" t="s">
        <v>72</v>
      </c>
      <c r="I379" t="s">
        <v>27</v>
      </c>
      <c r="J379" t="s">
        <v>798</v>
      </c>
      <c r="K379">
        <v>2021</v>
      </c>
      <c r="L379">
        <v>3</v>
      </c>
      <c r="M379">
        <v>13</v>
      </c>
      <c r="N379" t="s">
        <v>98</v>
      </c>
      <c r="O379">
        <v>4</v>
      </c>
      <c r="P379">
        <v>5</v>
      </c>
      <c r="Q379" t="s">
        <v>31</v>
      </c>
      <c r="R379">
        <v>13</v>
      </c>
      <c r="S379">
        <v>24</v>
      </c>
      <c r="T379">
        <v>86108</v>
      </c>
      <c r="U379">
        <v>5500</v>
      </c>
      <c r="V379">
        <v>11.4</v>
      </c>
      <c r="W379" t="s">
        <v>31</v>
      </c>
    </row>
    <row r="380" spans="1:23" x14ac:dyDescent="0.3">
      <c r="A380" t="s">
        <v>799</v>
      </c>
      <c r="B380" t="s">
        <v>2061</v>
      </c>
      <c r="C380">
        <v>40</v>
      </c>
      <c r="D380" t="s">
        <v>22</v>
      </c>
      <c r="E380" t="s">
        <v>34</v>
      </c>
      <c r="F380" t="s">
        <v>51</v>
      </c>
      <c r="G380" t="s">
        <v>43</v>
      </c>
      <c r="H380" t="s">
        <v>72</v>
      </c>
      <c r="I380" t="s">
        <v>65</v>
      </c>
      <c r="J380" t="s">
        <v>800</v>
      </c>
      <c r="K380">
        <v>2023</v>
      </c>
      <c r="L380">
        <v>1</v>
      </c>
      <c r="M380">
        <v>11</v>
      </c>
      <c r="N380" t="s">
        <v>29</v>
      </c>
      <c r="O380">
        <v>1</v>
      </c>
      <c r="P380">
        <v>4</v>
      </c>
      <c r="Q380" t="s">
        <v>31</v>
      </c>
      <c r="R380">
        <v>9</v>
      </c>
      <c r="S380">
        <v>77</v>
      </c>
      <c r="T380">
        <v>133509</v>
      </c>
      <c r="U380">
        <v>16700</v>
      </c>
      <c r="V380">
        <v>4</v>
      </c>
      <c r="W380" t="s">
        <v>31</v>
      </c>
    </row>
    <row r="381" spans="1:23" x14ac:dyDescent="0.3">
      <c r="A381" t="s">
        <v>801</v>
      </c>
      <c r="B381" t="s">
        <v>2062</v>
      </c>
      <c r="C381">
        <v>29</v>
      </c>
      <c r="D381" t="s">
        <v>33</v>
      </c>
      <c r="E381" t="s">
        <v>61</v>
      </c>
      <c r="F381" t="s">
        <v>75</v>
      </c>
      <c r="G381" t="s">
        <v>52</v>
      </c>
      <c r="H381" t="s">
        <v>53</v>
      </c>
      <c r="I381" t="s">
        <v>27</v>
      </c>
      <c r="J381" t="s">
        <v>448</v>
      </c>
      <c r="K381">
        <v>2021</v>
      </c>
      <c r="L381">
        <v>3</v>
      </c>
      <c r="M381">
        <v>3</v>
      </c>
      <c r="N381" t="s">
        <v>39</v>
      </c>
      <c r="O381">
        <v>1</v>
      </c>
      <c r="P381">
        <v>1</v>
      </c>
      <c r="Q381" t="s">
        <v>31</v>
      </c>
      <c r="R381">
        <v>13</v>
      </c>
      <c r="S381">
        <v>3</v>
      </c>
      <c r="T381">
        <v>80962</v>
      </c>
      <c r="U381">
        <v>2400</v>
      </c>
      <c r="V381">
        <v>13.8</v>
      </c>
      <c r="W381" t="s">
        <v>31</v>
      </c>
    </row>
    <row r="382" spans="1:23" x14ac:dyDescent="0.3">
      <c r="A382" t="s">
        <v>802</v>
      </c>
      <c r="B382" t="s">
        <v>2063</v>
      </c>
      <c r="C382">
        <v>38</v>
      </c>
      <c r="D382" t="s">
        <v>33</v>
      </c>
      <c r="E382" t="s">
        <v>23</v>
      </c>
      <c r="F382" t="s">
        <v>24</v>
      </c>
      <c r="G382" t="s">
        <v>25</v>
      </c>
      <c r="H382" t="s">
        <v>205</v>
      </c>
      <c r="I382" t="s">
        <v>79</v>
      </c>
      <c r="J382" t="s">
        <v>432</v>
      </c>
      <c r="K382">
        <v>2024</v>
      </c>
      <c r="L382">
        <v>0</v>
      </c>
      <c r="M382">
        <v>9</v>
      </c>
      <c r="N382" t="s">
        <v>85</v>
      </c>
      <c r="O382">
        <v>5</v>
      </c>
      <c r="P382">
        <v>5</v>
      </c>
      <c r="Q382" t="s">
        <v>30</v>
      </c>
      <c r="R382">
        <v>2</v>
      </c>
      <c r="S382">
        <v>43</v>
      </c>
      <c r="T382">
        <v>98948</v>
      </c>
      <c r="U382">
        <v>16900</v>
      </c>
      <c r="V382">
        <v>9.4</v>
      </c>
      <c r="W382" t="s">
        <v>31</v>
      </c>
    </row>
    <row r="383" spans="1:23" x14ac:dyDescent="0.3">
      <c r="A383" t="s">
        <v>803</v>
      </c>
      <c r="B383" t="s">
        <v>1835</v>
      </c>
      <c r="C383">
        <v>46</v>
      </c>
      <c r="D383" t="s">
        <v>33</v>
      </c>
      <c r="E383" t="s">
        <v>61</v>
      </c>
      <c r="F383" t="s">
        <v>75</v>
      </c>
      <c r="G383" t="s">
        <v>43</v>
      </c>
      <c r="H383" t="s">
        <v>48</v>
      </c>
      <c r="I383" t="s">
        <v>27</v>
      </c>
      <c r="J383" t="s">
        <v>804</v>
      </c>
      <c r="K383">
        <v>2024</v>
      </c>
      <c r="L383">
        <v>0</v>
      </c>
      <c r="M383">
        <v>18</v>
      </c>
      <c r="N383" t="s">
        <v>29</v>
      </c>
      <c r="O383">
        <v>1</v>
      </c>
      <c r="P383">
        <v>5</v>
      </c>
      <c r="Q383" t="s">
        <v>31</v>
      </c>
      <c r="R383">
        <v>11</v>
      </c>
      <c r="S383">
        <v>16</v>
      </c>
      <c r="T383">
        <v>99301</v>
      </c>
      <c r="U383">
        <v>10900</v>
      </c>
      <c r="V383">
        <v>4.3</v>
      </c>
      <c r="W383" t="s">
        <v>31</v>
      </c>
    </row>
    <row r="384" spans="1:23" x14ac:dyDescent="0.3">
      <c r="A384" t="s">
        <v>805</v>
      </c>
      <c r="B384" t="s">
        <v>1956</v>
      </c>
      <c r="C384">
        <v>49</v>
      </c>
      <c r="D384" t="s">
        <v>33</v>
      </c>
      <c r="E384" t="s">
        <v>34</v>
      </c>
      <c r="F384" t="s">
        <v>62</v>
      </c>
      <c r="G384" t="s">
        <v>43</v>
      </c>
      <c r="H384" t="s">
        <v>96</v>
      </c>
      <c r="I384" t="s">
        <v>27</v>
      </c>
      <c r="J384" t="s">
        <v>806</v>
      </c>
      <c r="K384">
        <v>2021</v>
      </c>
      <c r="L384">
        <v>3</v>
      </c>
      <c r="M384">
        <v>19</v>
      </c>
      <c r="N384" t="s">
        <v>39</v>
      </c>
      <c r="O384">
        <v>1</v>
      </c>
      <c r="P384">
        <v>4</v>
      </c>
      <c r="Q384" t="s">
        <v>31</v>
      </c>
      <c r="R384">
        <v>0</v>
      </c>
      <c r="S384">
        <v>68</v>
      </c>
      <c r="T384">
        <v>120875</v>
      </c>
      <c r="U384">
        <v>3400</v>
      </c>
      <c r="V384">
        <v>7.4</v>
      </c>
      <c r="W384" t="s">
        <v>31</v>
      </c>
    </row>
    <row r="385" spans="1:23" x14ac:dyDescent="0.3">
      <c r="A385" t="s">
        <v>807</v>
      </c>
      <c r="B385" t="s">
        <v>1893</v>
      </c>
      <c r="C385">
        <v>39</v>
      </c>
      <c r="D385" t="s">
        <v>41</v>
      </c>
      <c r="E385" t="s">
        <v>71</v>
      </c>
      <c r="F385" t="s">
        <v>42</v>
      </c>
      <c r="G385" t="s">
        <v>43</v>
      </c>
      <c r="H385" t="s">
        <v>48</v>
      </c>
      <c r="I385" t="s">
        <v>65</v>
      </c>
      <c r="J385" t="s">
        <v>808</v>
      </c>
      <c r="K385">
        <v>2022</v>
      </c>
      <c r="L385">
        <v>2</v>
      </c>
      <c r="M385">
        <v>15</v>
      </c>
      <c r="N385" t="s">
        <v>98</v>
      </c>
      <c r="O385">
        <v>1</v>
      </c>
      <c r="P385">
        <v>3</v>
      </c>
      <c r="Q385" t="s">
        <v>31</v>
      </c>
      <c r="R385">
        <v>22</v>
      </c>
      <c r="S385">
        <v>73</v>
      </c>
      <c r="T385">
        <v>89119</v>
      </c>
      <c r="U385">
        <v>7100</v>
      </c>
      <c r="V385">
        <v>12.9</v>
      </c>
      <c r="W385" t="s">
        <v>30</v>
      </c>
    </row>
    <row r="386" spans="1:23" x14ac:dyDescent="0.3">
      <c r="A386" t="s">
        <v>809</v>
      </c>
      <c r="B386" t="s">
        <v>1858</v>
      </c>
      <c r="C386">
        <v>29</v>
      </c>
      <c r="D386" t="s">
        <v>33</v>
      </c>
      <c r="E386" t="s">
        <v>34</v>
      </c>
      <c r="F386" t="s">
        <v>35</v>
      </c>
      <c r="G386" t="s">
        <v>43</v>
      </c>
      <c r="H386" t="s">
        <v>48</v>
      </c>
      <c r="I386" t="s">
        <v>79</v>
      </c>
      <c r="J386" t="s">
        <v>810</v>
      </c>
      <c r="K386">
        <v>2023</v>
      </c>
      <c r="L386">
        <v>1</v>
      </c>
      <c r="M386">
        <v>2</v>
      </c>
      <c r="N386" t="s">
        <v>98</v>
      </c>
      <c r="O386">
        <v>4</v>
      </c>
      <c r="P386">
        <v>3</v>
      </c>
      <c r="Q386" t="s">
        <v>31</v>
      </c>
      <c r="R386">
        <v>21</v>
      </c>
      <c r="S386">
        <v>20</v>
      </c>
      <c r="T386">
        <v>97605</v>
      </c>
      <c r="U386">
        <v>8000</v>
      </c>
      <c r="V386">
        <v>5.7</v>
      </c>
      <c r="W386" t="s">
        <v>31</v>
      </c>
    </row>
    <row r="387" spans="1:23" x14ac:dyDescent="0.3">
      <c r="A387" t="s">
        <v>811</v>
      </c>
      <c r="B387" t="s">
        <v>2064</v>
      </c>
      <c r="C387">
        <v>41</v>
      </c>
      <c r="D387" t="s">
        <v>33</v>
      </c>
      <c r="E387" t="s">
        <v>34</v>
      </c>
      <c r="F387" t="s">
        <v>24</v>
      </c>
      <c r="G387" t="s">
        <v>43</v>
      </c>
      <c r="H387" t="s">
        <v>72</v>
      </c>
      <c r="I387" t="s">
        <v>27</v>
      </c>
      <c r="J387" t="s">
        <v>812</v>
      </c>
      <c r="K387">
        <v>2024</v>
      </c>
      <c r="L387">
        <v>0</v>
      </c>
      <c r="M387">
        <v>13</v>
      </c>
      <c r="N387" t="s">
        <v>29</v>
      </c>
      <c r="O387">
        <v>5</v>
      </c>
      <c r="P387">
        <v>1</v>
      </c>
      <c r="Q387" t="s">
        <v>30</v>
      </c>
      <c r="R387">
        <v>22</v>
      </c>
      <c r="S387">
        <v>38</v>
      </c>
      <c r="T387">
        <v>107098</v>
      </c>
      <c r="U387">
        <v>15000</v>
      </c>
      <c r="V387">
        <v>11.4</v>
      </c>
      <c r="W387" t="s">
        <v>31</v>
      </c>
    </row>
    <row r="388" spans="1:23" x14ac:dyDescent="0.3">
      <c r="A388" t="s">
        <v>813</v>
      </c>
      <c r="B388" t="s">
        <v>1981</v>
      </c>
      <c r="C388">
        <v>34</v>
      </c>
      <c r="D388" t="s">
        <v>33</v>
      </c>
      <c r="E388" t="s">
        <v>34</v>
      </c>
      <c r="F388" t="s">
        <v>35</v>
      </c>
      <c r="G388" t="s">
        <v>36</v>
      </c>
      <c r="H388" t="s">
        <v>89</v>
      </c>
      <c r="I388" t="s">
        <v>27</v>
      </c>
      <c r="J388" t="s">
        <v>311</v>
      </c>
      <c r="K388">
        <v>2024</v>
      </c>
      <c r="L388">
        <v>0</v>
      </c>
      <c r="M388">
        <v>10</v>
      </c>
      <c r="N388" t="s">
        <v>85</v>
      </c>
      <c r="O388">
        <v>4</v>
      </c>
      <c r="P388">
        <v>2</v>
      </c>
      <c r="Q388" t="s">
        <v>30</v>
      </c>
      <c r="R388">
        <v>1</v>
      </c>
      <c r="S388">
        <v>12</v>
      </c>
      <c r="T388">
        <v>94045</v>
      </c>
      <c r="U388">
        <v>19900</v>
      </c>
      <c r="V388">
        <v>7.3</v>
      </c>
      <c r="W388" t="s">
        <v>31</v>
      </c>
    </row>
    <row r="389" spans="1:23" x14ac:dyDescent="0.3">
      <c r="A389" t="s">
        <v>814</v>
      </c>
      <c r="B389" t="s">
        <v>2065</v>
      </c>
      <c r="C389">
        <v>39</v>
      </c>
      <c r="D389" t="s">
        <v>22</v>
      </c>
      <c r="E389" t="s">
        <v>23</v>
      </c>
      <c r="F389" t="s">
        <v>35</v>
      </c>
      <c r="G389" t="s">
        <v>43</v>
      </c>
      <c r="H389" t="s">
        <v>96</v>
      </c>
      <c r="I389" t="s">
        <v>27</v>
      </c>
      <c r="J389" t="s">
        <v>139</v>
      </c>
      <c r="K389">
        <v>2021</v>
      </c>
      <c r="L389">
        <v>3</v>
      </c>
      <c r="M389">
        <v>11</v>
      </c>
      <c r="N389" t="s">
        <v>29</v>
      </c>
      <c r="O389">
        <v>4</v>
      </c>
      <c r="P389">
        <v>1</v>
      </c>
      <c r="Q389" t="s">
        <v>31</v>
      </c>
      <c r="R389">
        <v>24</v>
      </c>
      <c r="S389">
        <v>59</v>
      </c>
      <c r="T389">
        <v>122952</v>
      </c>
      <c r="U389">
        <v>12500</v>
      </c>
      <c r="V389">
        <v>7.8</v>
      </c>
      <c r="W389" t="s">
        <v>31</v>
      </c>
    </row>
    <row r="390" spans="1:23" x14ac:dyDescent="0.3">
      <c r="A390" t="s">
        <v>815</v>
      </c>
      <c r="B390" t="s">
        <v>1968</v>
      </c>
      <c r="C390">
        <v>27</v>
      </c>
      <c r="D390" t="s">
        <v>41</v>
      </c>
      <c r="E390" t="s">
        <v>34</v>
      </c>
      <c r="F390" t="s">
        <v>47</v>
      </c>
      <c r="G390" t="s">
        <v>117</v>
      </c>
      <c r="H390" t="s">
        <v>118</v>
      </c>
      <c r="I390" t="s">
        <v>27</v>
      </c>
      <c r="J390" t="s">
        <v>816</v>
      </c>
      <c r="K390">
        <v>2023</v>
      </c>
      <c r="L390">
        <v>1</v>
      </c>
      <c r="M390">
        <v>4</v>
      </c>
      <c r="N390" t="s">
        <v>98</v>
      </c>
      <c r="O390">
        <v>1</v>
      </c>
      <c r="P390">
        <v>5</v>
      </c>
      <c r="Q390" t="s">
        <v>31</v>
      </c>
      <c r="R390">
        <v>5</v>
      </c>
      <c r="S390">
        <v>49</v>
      </c>
      <c r="T390">
        <v>97035</v>
      </c>
      <c r="U390">
        <v>6800</v>
      </c>
      <c r="V390">
        <v>3.3</v>
      </c>
      <c r="W390" t="s">
        <v>31</v>
      </c>
    </row>
    <row r="391" spans="1:23" x14ac:dyDescent="0.3">
      <c r="A391" t="s">
        <v>817</v>
      </c>
      <c r="B391" t="s">
        <v>2066</v>
      </c>
      <c r="C391">
        <v>33</v>
      </c>
      <c r="D391" t="s">
        <v>22</v>
      </c>
      <c r="E391" t="s">
        <v>34</v>
      </c>
      <c r="F391" t="s">
        <v>57</v>
      </c>
      <c r="G391" t="s">
        <v>25</v>
      </c>
      <c r="H391" t="s">
        <v>110</v>
      </c>
      <c r="I391" t="s">
        <v>27</v>
      </c>
      <c r="J391" t="s">
        <v>818</v>
      </c>
      <c r="K391">
        <v>2022</v>
      </c>
      <c r="L391">
        <v>2</v>
      </c>
      <c r="M391">
        <v>3</v>
      </c>
      <c r="N391" t="s">
        <v>98</v>
      </c>
      <c r="O391">
        <v>5</v>
      </c>
      <c r="P391">
        <v>5</v>
      </c>
      <c r="Q391" t="s">
        <v>31</v>
      </c>
      <c r="R391">
        <v>22</v>
      </c>
      <c r="S391">
        <v>15</v>
      </c>
      <c r="T391">
        <v>108272</v>
      </c>
      <c r="U391">
        <v>7300</v>
      </c>
      <c r="V391">
        <v>12.8</v>
      </c>
      <c r="W391" t="s">
        <v>31</v>
      </c>
    </row>
    <row r="392" spans="1:23" x14ac:dyDescent="0.3">
      <c r="A392" t="s">
        <v>819</v>
      </c>
      <c r="B392" t="s">
        <v>1917</v>
      </c>
      <c r="C392">
        <v>42</v>
      </c>
      <c r="D392" t="s">
        <v>22</v>
      </c>
      <c r="E392" t="s">
        <v>34</v>
      </c>
      <c r="F392" t="s">
        <v>57</v>
      </c>
      <c r="G392" t="s">
        <v>63</v>
      </c>
      <c r="H392" t="s">
        <v>64</v>
      </c>
      <c r="I392" t="s">
        <v>65</v>
      </c>
      <c r="J392" t="s">
        <v>164</v>
      </c>
      <c r="K392">
        <v>2022</v>
      </c>
      <c r="L392">
        <v>2</v>
      </c>
      <c r="M392">
        <v>15</v>
      </c>
      <c r="N392" t="s">
        <v>29</v>
      </c>
      <c r="O392">
        <v>5</v>
      </c>
      <c r="P392">
        <v>3</v>
      </c>
      <c r="Q392" t="s">
        <v>31</v>
      </c>
      <c r="R392">
        <v>11</v>
      </c>
      <c r="S392">
        <v>69</v>
      </c>
      <c r="T392">
        <v>39221</v>
      </c>
      <c r="U392">
        <v>5000</v>
      </c>
      <c r="V392">
        <v>4.0999999999999996</v>
      </c>
      <c r="W392" t="s">
        <v>31</v>
      </c>
    </row>
    <row r="393" spans="1:23" x14ac:dyDescent="0.3">
      <c r="A393" t="s">
        <v>820</v>
      </c>
      <c r="B393" t="s">
        <v>2054</v>
      </c>
      <c r="C393">
        <v>43</v>
      </c>
      <c r="D393" t="s">
        <v>41</v>
      </c>
      <c r="E393" t="s">
        <v>71</v>
      </c>
      <c r="F393" t="s">
        <v>62</v>
      </c>
      <c r="G393" t="s">
        <v>100</v>
      </c>
      <c r="H393" t="s">
        <v>145</v>
      </c>
      <c r="I393" t="s">
        <v>27</v>
      </c>
      <c r="J393" t="s">
        <v>821</v>
      </c>
      <c r="K393">
        <v>2022</v>
      </c>
      <c r="L393">
        <v>2</v>
      </c>
      <c r="M393">
        <v>17</v>
      </c>
      <c r="N393" t="s">
        <v>85</v>
      </c>
      <c r="O393">
        <v>2</v>
      </c>
      <c r="P393">
        <v>1</v>
      </c>
      <c r="Q393" t="s">
        <v>31</v>
      </c>
      <c r="R393">
        <v>21</v>
      </c>
      <c r="S393">
        <v>5</v>
      </c>
      <c r="T393">
        <v>69158</v>
      </c>
      <c r="U393">
        <v>13800</v>
      </c>
      <c r="V393">
        <v>6.8</v>
      </c>
      <c r="W393" t="s">
        <v>31</v>
      </c>
    </row>
    <row r="394" spans="1:23" x14ac:dyDescent="0.3">
      <c r="A394" t="s">
        <v>822</v>
      </c>
      <c r="B394" t="s">
        <v>2067</v>
      </c>
      <c r="C394">
        <v>43</v>
      </c>
      <c r="D394" t="s">
        <v>41</v>
      </c>
      <c r="E394" t="s">
        <v>71</v>
      </c>
      <c r="F394" t="s">
        <v>35</v>
      </c>
      <c r="G394" t="s">
        <v>43</v>
      </c>
      <c r="H394" t="s">
        <v>44</v>
      </c>
      <c r="I394" t="s">
        <v>27</v>
      </c>
      <c r="J394" t="s">
        <v>683</v>
      </c>
      <c r="K394">
        <v>2022</v>
      </c>
      <c r="L394">
        <v>2</v>
      </c>
      <c r="M394">
        <v>18</v>
      </c>
      <c r="N394" t="s">
        <v>85</v>
      </c>
      <c r="O394">
        <v>1</v>
      </c>
      <c r="P394">
        <v>3</v>
      </c>
      <c r="Q394" t="s">
        <v>31</v>
      </c>
      <c r="R394">
        <v>21</v>
      </c>
      <c r="S394">
        <v>54</v>
      </c>
      <c r="T394">
        <v>106358</v>
      </c>
      <c r="U394">
        <v>22300</v>
      </c>
      <c r="V394">
        <v>3.9</v>
      </c>
      <c r="W394" t="s">
        <v>31</v>
      </c>
    </row>
    <row r="395" spans="1:23" x14ac:dyDescent="0.3">
      <c r="A395" t="s">
        <v>823</v>
      </c>
      <c r="B395" t="s">
        <v>1838</v>
      </c>
      <c r="C395">
        <v>34</v>
      </c>
      <c r="D395" t="s">
        <v>33</v>
      </c>
      <c r="E395" t="s">
        <v>71</v>
      </c>
      <c r="F395" t="s">
        <v>153</v>
      </c>
      <c r="G395" t="s">
        <v>82</v>
      </c>
      <c r="H395" t="s">
        <v>83</v>
      </c>
      <c r="I395" t="s">
        <v>27</v>
      </c>
      <c r="J395" t="s">
        <v>775</v>
      </c>
      <c r="K395">
        <v>2023</v>
      </c>
      <c r="L395">
        <v>1</v>
      </c>
      <c r="M395">
        <v>7</v>
      </c>
      <c r="N395" t="s">
        <v>98</v>
      </c>
      <c r="O395">
        <v>5</v>
      </c>
      <c r="P395">
        <v>2</v>
      </c>
      <c r="Q395" t="s">
        <v>31</v>
      </c>
      <c r="R395">
        <v>2</v>
      </c>
      <c r="S395">
        <v>34</v>
      </c>
      <c r="T395">
        <v>87452</v>
      </c>
      <c r="U395">
        <v>6400</v>
      </c>
      <c r="V395">
        <v>8</v>
      </c>
      <c r="W395" t="s">
        <v>31</v>
      </c>
    </row>
    <row r="396" spans="1:23" x14ac:dyDescent="0.3">
      <c r="A396" t="s">
        <v>824</v>
      </c>
      <c r="B396" t="s">
        <v>2068</v>
      </c>
      <c r="C396">
        <v>30</v>
      </c>
      <c r="D396" t="s">
        <v>33</v>
      </c>
      <c r="E396" t="s">
        <v>56</v>
      </c>
      <c r="F396" t="s">
        <v>75</v>
      </c>
      <c r="G396" t="s">
        <v>36</v>
      </c>
      <c r="H396" t="s">
        <v>76</v>
      </c>
      <c r="I396" t="s">
        <v>27</v>
      </c>
      <c r="J396" t="s">
        <v>825</v>
      </c>
      <c r="K396">
        <v>2024</v>
      </c>
      <c r="L396">
        <v>0</v>
      </c>
      <c r="M396">
        <v>3</v>
      </c>
      <c r="N396" t="s">
        <v>85</v>
      </c>
      <c r="O396">
        <v>1</v>
      </c>
      <c r="P396">
        <v>1</v>
      </c>
      <c r="Q396" t="s">
        <v>31</v>
      </c>
      <c r="R396">
        <v>5</v>
      </c>
      <c r="S396">
        <v>67</v>
      </c>
      <c r="T396">
        <v>62907</v>
      </c>
      <c r="U396">
        <v>14100</v>
      </c>
      <c r="V396">
        <v>6.3</v>
      </c>
      <c r="W396" t="s">
        <v>30</v>
      </c>
    </row>
    <row r="397" spans="1:23" x14ac:dyDescent="0.3">
      <c r="A397" t="s">
        <v>826</v>
      </c>
      <c r="B397" t="s">
        <v>2069</v>
      </c>
      <c r="C397">
        <v>45</v>
      </c>
      <c r="D397" t="s">
        <v>33</v>
      </c>
      <c r="E397" t="s">
        <v>71</v>
      </c>
      <c r="F397" t="s">
        <v>42</v>
      </c>
      <c r="G397" t="s">
        <v>43</v>
      </c>
      <c r="H397" t="s">
        <v>96</v>
      </c>
      <c r="I397" t="s">
        <v>27</v>
      </c>
      <c r="J397" t="s">
        <v>827</v>
      </c>
      <c r="K397">
        <v>2021</v>
      </c>
      <c r="L397">
        <v>3</v>
      </c>
      <c r="M397">
        <v>19</v>
      </c>
      <c r="N397" t="s">
        <v>98</v>
      </c>
      <c r="O397">
        <v>4</v>
      </c>
      <c r="P397">
        <v>4</v>
      </c>
      <c r="Q397" t="s">
        <v>31</v>
      </c>
      <c r="R397">
        <v>18</v>
      </c>
      <c r="S397">
        <v>16</v>
      </c>
      <c r="T397">
        <v>82984</v>
      </c>
      <c r="U397">
        <v>5000</v>
      </c>
      <c r="V397">
        <v>14.4</v>
      </c>
      <c r="W397" t="s">
        <v>31</v>
      </c>
    </row>
    <row r="398" spans="1:23" x14ac:dyDescent="0.3">
      <c r="A398" t="s">
        <v>828</v>
      </c>
      <c r="B398" t="s">
        <v>2055</v>
      </c>
      <c r="C398">
        <v>33</v>
      </c>
      <c r="D398" t="s">
        <v>41</v>
      </c>
      <c r="E398" t="s">
        <v>71</v>
      </c>
      <c r="F398" t="s">
        <v>62</v>
      </c>
      <c r="G398" t="s">
        <v>43</v>
      </c>
      <c r="H398" t="s">
        <v>96</v>
      </c>
      <c r="I398" t="s">
        <v>27</v>
      </c>
      <c r="J398" t="s">
        <v>829</v>
      </c>
      <c r="K398">
        <v>2022</v>
      </c>
      <c r="L398">
        <v>2</v>
      </c>
      <c r="M398">
        <v>5</v>
      </c>
      <c r="N398" t="s">
        <v>85</v>
      </c>
      <c r="O398">
        <v>4</v>
      </c>
      <c r="P398">
        <v>2</v>
      </c>
      <c r="Q398" t="s">
        <v>30</v>
      </c>
      <c r="R398">
        <v>14</v>
      </c>
      <c r="S398">
        <v>45</v>
      </c>
      <c r="T398">
        <v>105044</v>
      </c>
      <c r="U398">
        <v>22900</v>
      </c>
      <c r="V398">
        <v>14.7</v>
      </c>
      <c r="W398" t="s">
        <v>31</v>
      </c>
    </row>
    <row r="399" spans="1:23" x14ac:dyDescent="0.3">
      <c r="A399" t="s">
        <v>830</v>
      </c>
      <c r="B399" t="s">
        <v>2070</v>
      </c>
      <c r="C399">
        <v>29</v>
      </c>
      <c r="D399" t="s">
        <v>41</v>
      </c>
      <c r="E399" t="s">
        <v>34</v>
      </c>
      <c r="F399" t="s">
        <v>62</v>
      </c>
      <c r="G399" t="s">
        <v>100</v>
      </c>
      <c r="H399" t="s">
        <v>129</v>
      </c>
      <c r="I399" t="s">
        <v>27</v>
      </c>
      <c r="J399" t="s">
        <v>831</v>
      </c>
      <c r="K399">
        <v>2022</v>
      </c>
      <c r="L399">
        <v>2</v>
      </c>
      <c r="M399">
        <v>3</v>
      </c>
      <c r="N399" t="s">
        <v>98</v>
      </c>
      <c r="O399">
        <v>3</v>
      </c>
      <c r="P399">
        <v>5</v>
      </c>
      <c r="Q399" t="s">
        <v>30</v>
      </c>
      <c r="R399">
        <v>15</v>
      </c>
      <c r="S399">
        <v>1</v>
      </c>
      <c r="T399">
        <v>60495</v>
      </c>
      <c r="U399">
        <v>4500</v>
      </c>
      <c r="V399">
        <v>3.9</v>
      </c>
      <c r="W399" t="s">
        <v>31</v>
      </c>
    </row>
    <row r="400" spans="1:23" x14ac:dyDescent="0.3">
      <c r="A400" t="s">
        <v>832</v>
      </c>
      <c r="B400" t="s">
        <v>2071</v>
      </c>
      <c r="C400">
        <v>47</v>
      </c>
      <c r="D400" t="s">
        <v>33</v>
      </c>
      <c r="E400" t="s">
        <v>71</v>
      </c>
      <c r="F400" t="s">
        <v>42</v>
      </c>
      <c r="G400" t="s">
        <v>25</v>
      </c>
      <c r="H400" t="s">
        <v>110</v>
      </c>
      <c r="I400" t="s">
        <v>27</v>
      </c>
      <c r="J400" t="s">
        <v>833</v>
      </c>
      <c r="K400">
        <v>2022</v>
      </c>
      <c r="L400">
        <v>2</v>
      </c>
      <c r="M400">
        <v>17</v>
      </c>
      <c r="N400" t="s">
        <v>85</v>
      </c>
      <c r="O400">
        <v>2</v>
      </c>
      <c r="P400">
        <v>5</v>
      </c>
      <c r="Q400" t="s">
        <v>31</v>
      </c>
      <c r="R400">
        <v>21</v>
      </c>
      <c r="S400">
        <v>77</v>
      </c>
      <c r="T400">
        <v>81572</v>
      </c>
      <c r="U400">
        <v>14300</v>
      </c>
      <c r="V400">
        <v>13</v>
      </c>
      <c r="W400" t="s">
        <v>30</v>
      </c>
    </row>
    <row r="401" spans="1:23" x14ac:dyDescent="0.3">
      <c r="A401" t="s">
        <v>834</v>
      </c>
      <c r="B401" t="s">
        <v>2001</v>
      </c>
      <c r="C401">
        <v>36</v>
      </c>
      <c r="D401" t="s">
        <v>33</v>
      </c>
      <c r="E401" t="s">
        <v>71</v>
      </c>
      <c r="F401" t="s">
        <v>75</v>
      </c>
      <c r="G401" t="s">
        <v>82</v>
      </c>
      <c r="H401" t="s">
        <v>286</v>
      </c>
      <c r="I401" t="s">
        <v>79</v>
      </c>
      <c r="J401" t="s">
        <v>119</v>
      </c>
      <c r="K401">
        <v>2022</v>
      </c>
      <c r="L401">
        <v>2</v>
      </c>
      <c r="M401">
        <v>12</v>
      </c>
      <c r="N401" t="s">
        <v>29</v>
      </c>
      <c r="O401">
        <v>1</v>
      </c>
      <c r="P401">
        <v>3</v>
      </c>
      <c r="Q401" t="s">
        <v>31</v>
      </c>
      <c r="R401">
        <v>9</v>
      </c>
      <c r="S401">
        <v>61</v>
      </c>
      <c r="T401">
        <v>48336</v>
      </c>
      <c r="U401">
        <v>5500</v>
      </c>
      <c r="V401">
        <v>7.5</v>
      </c>
      <c r="W401" t="s">
        <v>31</v>
      </c>
    </row>
    <row r="402" spans="1:23" x14ac:dyDescent="0.3">
      <c r="A402" t="s">
        <v>835</v>
      </c>
      <c r="B402" t="s">
        <v>2072</v>
      </c>
      <c r="C402">
        <v>39</v>
      </c>
      <c r="D402" t="s">
        <v>41</v>
      </c>
      <c r="E402" t="s">
        <v>56</v>
      </c>
      <c r="F402" t="s">
        <v>24</v>
      </c>
      <c r="G402" t="s">
        <v>43</v>
      </c>
      <c r="H402" t="s">
        <v>96</v>
      </c>
      <c r="I402" t="s">
        <v>79</v>
      </c>
      <c r="J402" t="s">
        <v>694</v>
      </c>
      <c r="K402">
        <v>2024</v>
      </c>
      <c r="L402">
        <v>0</v>
      </c>
      <c r="M402">
        <v>17</v>
      </c>
      <c r="N402" t="s">
        <v>85</v>
      </c>
      <c r="O402">
        <v>2</v>
      </c>
      <c r="P402">
        <v>4</v>
      </c>
      <c r="Q402" t="s">
        <v>30</v>
      </c>
      <c r="R402">
        <v>11</v>
      </c>
      <c r="S402">
        <v>1</v>
      </c>
      <c r="T402">
        <v>133998</v>
      </c>
      <c r="U402">
        <v>21500</v>
      </c>
      <c r="V402">
        <v>8.5</v>
      </c>
      <c r="W402" t="s">
        <v>31</v>
      </c>
    </row>
    <row r="403" spans="1:23" x14ac:dyDescent="0.3">
      <c r="A403" t="s">
        <v>836</v>
      </c>
      <c r="B403" t="s">
        <v>1883</v>
      </c>
      <c r="C403">
        <v>38</v>
      </c>
      <c r="D403" t="s">
        <v>41</v>
      </c>
      <c r="E403" t="s">
        <v>34</v>
      </c>
      <c r="F403" t="s">
        <v>47</v>
      </c>
      <c r="G403" t="s">
        <v>43</v>
      </c>
      <c r="H403" t="s">
        <v>72</v>
      </c>
      <c r="I403" t="s">
        <v>27</v>
      </c>
      <c r="J403" t="s">
        <v>837</v>
      </c>
      <c r="K403">
        <v>2022</v>
      </c>
      <c r="L403">
        <v>2</v>
      </c>
      <c r="M403">
        <v>16</v>
      </c>
      <c r="N403" t="s">
        <v>29</v>
      </c>
      <c r="O403">
        <v>4</v>
      </c>
      <c r="P403">
        <v>4</v>
      </c>
      <c r="Q403" t="s">
        <v>30</v>
      </c>
      <c r="R403">
        <v>5</v>
      </c>
      <c r="S403">
        <v>17</v>
      </c>
      <c r="T403">
        <v>102785</v>
      </c>
      <c r="U403">
        <v>11800</v>
      </c>
      <c r="V403">
        <v>6.6</v>
      </c>
      <c r="W403" t="s">
        <v>31</v>
      </c>
    </row>
    <row r="404" spans="1:23" x14ac:dyDescent="0.3">
      <c r="A404" t="s">
        <v>838</v>
      </c>
      <c r="B404" t="s">
        <v>1958</v>
      </c>
      <c r="C404">
        <v>32</v>
      </c>
      <c r="D404" t="s">
        <v>33</v>
      </c>
      <c r="E404" t="s">
        <v>34</v>
      </c>
      <c r="F404" t="s">
        <v>47</v>
      </c>
      <c r="G404" t="s">
        <v>82</v>
      </c>
      <c r="H404" t="s">
        <v>138</v>
      </c>
      <c r="I404" t="s">
        <v>27</v>
      </c>
      <c r="J404" t="s">
        <v>839</v>
      </c>
      <c r="K404">
        <v>2022</v>
      </c>
      <c r="L404">
        <v>2</v>
      </c>
      <c r="M404">
        <v>10</v>
      </c>
      <c r="N404" t="s">
        <v>98</v>
      </c>
      <c r="O404">
        <v>4</v>
      </c>
      <c r="P404">
        <v>5</v>
      </c>
      <c r="Q404" t="s">
        <v>31</v>
      </c>
      <c r="R404">
        <v>15</v>
      </c>
      <c r="S404">
        <v>16</v>
      </c>
      <c r="T404">
        <v>72594</v>
      </c>
      <c r="U404">
        <v>5900</v>
      </c>
      <c r="V404">
        <v>4.9000000000000004</v>
      </c>
      <c r="W404" t="s">
        <v>31</v>
      </c>
    </row>
    <row r="405" spans="1:23" x14ac:dyDescent="0.3">
      <c r="A405" t="s">
        <v>840</v>
      </c>
      <c r="B405" t="s">
        <v>1887</v>
      </c>
      <c r="C405">
        <v>37</v>
      </c>
      <c r="D405" t="s">
        <v>33</v>
      </c>
      <c r="E405" t="s">
        <v>34</v>
      </c>
      <c r="F405" t="s">
        <v>137</v>
      </c>
      <c r="G405" t="s">
        <v>63</v>
      </c>
      <c r="H405" t="s">
        <v>337</v>
      </c>
      <c r="I405" t="s">
        <v>27</v>
      </c>
      <c r="J405" t="s">
        <v>841</v>
      </c>
      <c r="K405">
        <v>2024</v>
      </c>
      <c r="L405">
        <v>0</v>
      </c>
      <c r="M405">
        <v>13</v>
      </c>
      <c r="N405" t="s">
        <v>98</v>
      </c>
      <c r="O405">
        <v>3</v>
      </c>
      <c r="P405">
        <v>4</v>
      </c>
      <c r="Q405" t="s">
        <v>31</v>
      </c>
      <c r="R405">
        <v>19</v>
      </c>
      <c r="S405">
        <v>1</v>
      </c>
      <c r="T405">
        <v>38534</v>
      </c>
      <c r="U405">
        <v>2300</v>
      </c>
      <c r="V405">
        <v>7.1</v>
      </c>
      <c r="W405" t="s">
        <v>30</v>
      </c>
    </row>
    <row r="406" spans="1:23" x14ac:dyDescent="0.3">
      <c r="A406" t="s">
        <v>842</v>
      </c>
      <c r="B406" t="s">
        <v>1923</v>
      </c>
      <c r="C406">
        <v>44</v>
      </c>
      <c r="D406" t="s">
        <v>41</v>
      </c>
      <c r="E406" t="s">
        <v>71</v>
      </c>
      <c r="F406" t="s">
        <v>153</v>
      </c>
      <c r="G406" t="s">
        <v>52</v>
      </c>
      <c r="H406" t="s">
        <v>320</v>
      </c>
      <c r="I406" t="s">
        <v>27</v>
      </c>
      <c r="J406" t="s">
        <v>843</v>
      </c>
      <c r="K406">
        <v>2021</v>
      </c>
      <c r="L406">
        <v>3</v>
      </c>
      <c r="M406">
        <v>20</v>
      </c>
      <c r="N406" t="s">
        <v>29</v>
      </c>
      <c r="O406">
        <v>1</v>
      </c>
      <c r="P406">
        <v>5</v>
      </c>
      <c r="Q406" t="s">
        <v>30</v>
      </c>
      <c r="R406">
        <v>19</v>
      </c>
      <c r="S406">
        <v>23</v>
      </c>
      <c r="T406">
        <v>57246</v>
      </c>
      <c r="U406">
        <v>7600</v>
      </c>
      <c r="V406">
        <v>13.4</v>
      </c>
      <c r="W406" t="s">
        <v>31</v>
      </c>
    </row>
    <row r="407" spans="1:23" x14ac:dyDescent="0.3">
      <c r="A407" t="s">
        <v>844</v>
      </c>
      <c r="B407" t="s">
        <v>2073</v>
      </c>
      <c r="C407">
        <v>33</v>
      </c>
      <c r="D407" t="s">
        <v>22</v>
      </c>
      <c r="E407" t="s">
        <v>34</v>
      </c>
      <c r="F407" t="s">
        <v>153</v>
      </c>
      <c r="G407" t="s">
        <v>36</v>
      </c>
      <c r="H407" t="s">
        <v>37</v>
      </c>
      <c r="I407" t="s">
        <v>27</v>
      </c>
      <c r="J407" t="s">
        <v>634</v>
      </c>
      <c r="K407">
        <v>2022</v>
      </c>
      <c r="L407">
        <v>2</v>
      </c>
      <c r="M407">
        <v>5</v>
      </c>
      <c r="N407" t="s">
        <v>39</v>
      </c>
      <c r="O407">
        <v>2</v>
      </c>
      <c r="P407">
        <v>2</v>
      </c>
      <c r="Q407" t="s">
        <v>30</v>
      </c>
      <c r="R407">
        <v>10</v>
      </c>
      <c r="S407">
        <v>54</v>
      </c>
      <c r="T407">
        <v>57594</v>
      </c>
      <c r="U407">
        <v>1700</v>
      </c>
      <c r="V407">
        <v>10.4</v>
      </c>
      <c r="W407" t="s">
        <v>30</v>
      </c>
    </row>
    <row r="408" spans="1:23" x14ac:dyDescent="0.3">
      <c r="A408" t="s">
        <v>845</v>
      </c>
      <c r="B408" t="s">
        <v>1969</v>
      </c>
      <c r="C408">
        <v>36</v>
      </c>
      <c r="D408" t="s">
        <v>41</v>
      </c>
      <c r="E408" t="s">
        <v>34</v>
      </c>
      <c r="F408" t="s">
        <v>24</v>
      </c>
      <c r="G408" t="s">
        <v>36</v>
      </c>
      <c r="H408" t="s">
        <v>89</v>
      </c>
      <c r="I408" t="s">
        <v>27</v>
      </c>
      <c r="J408" t="s">
        <v>335</v>
      </c>
      <c r="K408">
        <v>2021</v>
      </c>
      <c r="L408">
        <v>3</v>
      </c>
      <c r="M408">
        <v>9</v>
      </c>
      <c r="N408" t="s">
        <v>98</v>
      </c>
      <c r="O408">
        <v>4</v>
      </c>
      <c r="P408">
        <v>3</v>
      </c>
      <c r="Q408" t="s">
        <v>30</v>
      </c>
      <c r="R408">
        <v>19</v>
      </c>
      <c r="S408">
        <v>12</v>
      </c>
      <c r="T408">
        <v>68004</v>
      </c>
      <c r="U408">
        <v>4300</v>
      </c>
      <c r="V408">
        <v>13.7</v>
      </c>
      <c r="W408" t="s">
        <v>31</v>
      </c>
    </row>
    <row r="409" spans="1:23" x14ac:dyDescent="0.3">
      <c r="A409" t="s">
        <v>846</v>
      </c>
      <c r="B409" t="s">
        <v>1909</v>
      </c>
      <c r="C409">
        <v>26</v>
      </c>
      <c r="D409" t="s">
        <v>41</v>
      </c>
      <c r="E409" t="s">
        <v>71</v>
      </c>
      <c r="F409" t="s">
        <v>24</v>
      </c>
      <c r="G409" t="s">
        <v>82</v>
      </c>
      <c r="H409" t="s">
        <v>323</v>
      </c>
      <c r="I409" t="s">
        <v>27</v>
      </c>
      <c r="J409" t="s">
        <v>847</v>
      </c>
      <c r="K409">
        <v>2023</v>
      </c>
      <c r="L409">
        <v>1</v>
      </c>
      <c r="M409">
        <v>4</v>
      </c>
      <c r="N409" t="s">
        <v>29</v>
      </c>
      <c r="O409">
        <v>3</v>
      </c>
      <c r="P409">
        <v>2</v>
      </c>
      <c r="Q409" t="s">
        <v>31</v>
      </c>
      <c r="R409">
        <v>18</v>
      </c>
      <c r="S409">
        <v>49</v>
      </c>
      <c r="T409">
        <v>53539</v>
      </c>
      <c r="U409">
        <v>7000</v>
      </c>
      <c r="V409">
        <v>7.3</v>
      </c>
      <c r="W409" t="s">
        <v>31</v>
      </c>
    </row>
    <row r="410" spans="1:23" x14ac:dyDescent="0.3">
      <c r="A410" t="s">
        <v>848</v>
      </c>
      <c r="B410" t="s">
        <v>2001</v>
      </c>
      <c r="C410">
        <v>32</v>
      </c>
      <c r="D410" t="s">
        <v>33</v>
      </c>
      <c r="E410" t="s">
        <v>71</v>
      </c>
      <c r="F410" t="s">
        <v>75</v>
      </c>
      <c r="G410" t="s">
        <v>25</v>
      </c>
      <c r="H410" t="s">
        <v>26</v>
      </c>
      <c r="I410" t="s">
        <v>27</v>
      </c>
      <c r="J410" t="s">
        <v>849</v>
      </c>
      <c r="K410">
        <v>2021</v>
      </c>
      <c r="L410">
        <v>3</v>
      </c>
      <c r="M410">
        <v>7</v>
      </c>
      <c r="N410" t="s">
        <v>85</v>
      </c>
      <c r="O410">
        <v>2</v>
      </c>
      <c r="P410">
        <v>1</v>
      </c>
      <c r="Q410" t="s">
        <v>31</v>
      </c>
      <c r="R410">
        <v>4</v>
      </c>
      <c r="S410">
        <v>24</v>
      </c>
      <c r="T410">
        <v>61464</v>
      </c>
      <c r="U410">
        <v>12500</v>
      </c>
      <c r="V410">
        <v>7.1</v>
      </c>
      <c r="W410" t="s">
        <v>31</v>
      </c>
    </row>
    <row r="411" spans="1:23" x14ac:dyDescent="0.3">
      <c r="A411" t="s">
        <v>850</v>
      </c>
      <c r="B411" t="s">
        <v>1854</v>
      </c>
      <c r="C411">
        <v>32</v>
      </c>
      <c r="D411" t="s">
        <v>33</v>
      </c>
      <c r="E411" t="s">
        <v>34</v>
      </c>
      <c r="F411" t="s">
        <v>35</v>
      </c>
      <c r="G411" t="s">
        <v>43</v>
      </c>
      <c r="H411" t="s">
        <v>48</v>
      </c>
      <c r="I411" t="s">
        <v>27</v>
      </c>
      <c r="J411" t="s">
        <v>851</v>
      </c>
      <c r="K411">
        <v>2023</v>
      </c>
      <c r="L411">
        <v>1</v>
      </c>
      <c r="M411">
        <v>4</v>
      </c>
      <c r="N411" t="s">
        <v>29</v>
      </c>
      <c r="O411">
        <v>5</v>
      </c>
      <c r="P411">
        <v>1</v>
      </c>
      <c r="Q411" t="s">
        <v>30</v>
      </c>
      <c r="R411">
        <v>22</v>
      </c>
      <c r="S411">
        <v>24</v>
      </c>
      <c r="T411">
        <v>124919</v>
      </c>
      <c r="U411">
        <v>17700</v>
      </c>
      <c r="V411">
        <v>12.5</v>
      </c>
      <c r="W411" t="s">
        <v>31</v>
      </c>
    </row>
    <row r="412" spans="1:23" x14ac:dyDescent="0.3">
      <c r="A412" t="s">
        <v>852</v>
      </c>
      <c r="B412" t="s">
        <v>1918</v>
      </c>
      <c r="C412">
        <v>45</v>
      </c>
      <c r="D412" t="s">
        <v>41</v>
      </c>
      <c r="E412" t="s">
        <v>71</v>
      </c>
      <c r="F412" t="s">
        <v>137</v>
      </c>
      <c r="G412" t="s">
        <v>52</v>
      </c>
      <c r="H412" t="s">
        <v>320</v>
      </c>
      <c r="I412" t="s">
        <v>79</v>
      </c>
      <c r="J412" t="s">
        <v>853</v>
      </c>
      <c r="K412">
        <v>2021</v>
      </c>
      <c r="L412">
        <v>3</v>
      </c>
      <c r="M412">
        <v>17</v>
      </c>
      <c r="N412" t="s">
        <v>29</v>
      </c>
      <c r="O412">
        <v>5</v>
      </c>
      <c r="P412">
        <v>4</v>
      </c>
      <c r="Q412" t="s">
        <v>30</v>
      </c>
      <c r="R412">
        <v>16</v>
      </c>
      <c r="S412">
        <v>67</v>
      </c>
      <c r="T412">
        <v>70575</v>
      </c>
      <c r="U412">
        <v>7700</v>
      </c>
      <c r="V412">
        <v>5.2</v>
      </c>
      <c r="W412" t="s">
        <v>31</v>
      </c>
    </row>
    <row r="413" spans="1:23" x14ac:dyDescent="0.3">
      <c r="A413" t="s">
        <v>854</v>
      </c>
      <c r="B413" t="s">
        <v>2074</v>
      </c>
      <c r="C413">
        <v>31</v>
      </c>
      <c r="D413" t="s">
        <v>41</v>
      </c>
      <c r="E413" t="s">
        <v>34</v>
      </c>
      <c r="F413" t="s">
        <v>137</v>
      </c>
      <c r="G413" t="s">
        <v>52</v>
      </c>
      <c r="H413" t="s">
        <v>208</v>
      </c>
      <c r="I413" t="s">
        <v>27</v>
      </c>
      <c r="J413" t="s">
        <v>522</v>
      </c>
      <c r="K413">
        <v>2023</v>
      </c>
      <c r="L413">
        <v>1</v>
      </c>
      <c r="M413">
        <v>6</v>
      </c>
      <c r="N413" t="s">
        <v>29</v>
      </c>
      <c r="O413">
        <v>2</v>
      </c>
      <c r="P413">
        <v>2</v>
      </c>
      <c r="Q413" t="s">
        <v>30</v>
      </c>
      <c r="R413">
        <v>17</v>
      </c>
      <c r="S413">
        <v>14</v>
      </c>
      <c r="T413">
        <v>60611</v>
      </c>
      <c r="U413">
        <v>7700</v>
      </c>
      <c r="V413">
        <v>14.3</v>
      </c>
      <c r="W413" t="s">
        <v>31</v>
      </c>
    </row>
    <row r="414" spans="1:23" x14ac:dyDescent="0.3">
      <c r="A414" t="s">
        <v>855</v>
      </c>
      <c r="B414" t="s">
        <v>2019</v>
      </c>
      <c r="C414">
        <v>44</v>
      </c>
      <c r="D414" t="s">
        <v>33</v>
      </c>
      <c r="E414" t="s">
        <v>71</v>
      </c>
      <c r="F414" t="s">
        <v>24</v>
      </c>
      <c r="G414" t="s">
        <v>25</v>
      </c>
      <c r="H414" t="s">
        <v>26</v>
      </c>
      <c r="I414" t="s">
        <v>27</v>
      </c>
      <c r="J414" t="s">
        <v>856</v>
      </c>
      <c r="K414">
        <v>2023</v>
      </c>
      <c r="L414">
        <v>1</v>
      </c>
      <c r="M414">
        <v>18</v>
      </c>
      <c r="N414" t="s">
        <v>98</v>
      </c>
      <c r="O414">
        <v>3</v>
      </c>
      <c r="P414">
        <v>2</v>
      </c>
      <c r="Q414" t="s">
        <v>30</v>
      </c>
      <c r="R414">
        <v>8</v>
      </c>
      <c r="S414">
        <v>2</v>
      </c>
      <c r="T414">
        <v>81761</v>
      </c>
      <c r="U414">
        <v>5300</v>
      </c>
      <c r="V414">
        <v>14.8</v>
      </c>
      <c r="W414" t="s">
        <v>31</v>
      </c>
    </row>
    <row r="415" spans="1:23" x14ac:dyDescent="0.3">
      <c r="A415" t="s">
        <v>857</v>
      </c>
      <c r="B415" t="s">
        <v>2018</v>
      </c>
      <c r="C415">
        <v>50</v>
      </c>
      <c r="D415" t="s">
        <v>33</v>
      </c>
      <c r="E415" t="s">
        <v>34</v>
      </c>
      <c r="F415" t="s">
        <v>35</v>
      </c>
      <c r="G415" t="s">
        <v>43</v>
      </c>
      <c r="H415" t="s">
        <v>72</v>
      </c>
      <c r="I415" t="s">
        <v>27</v>
      </c>
      <c r="J415" t="s">
        <v>858</v>
      </c>
      <c r="K415">
        <v>2023</v>
      </c>
      <c r="L415">
        <v>1</v>
      </c>
      <c r="M415">
        <v>20</v>
      </c>
      <c r="N415" t="s">
        <v>29</v>
      </c>
      <c r="O415">
        <v>4</v>
      </c>
      <c r="P415">
        <v>3</v>
      </c>
      <c r="Q415" t="s">
        <v>31</v>
      </c>
      <c r="R415">
        <v>4</v>
      </c>
      <c r="S415">
        <v>61</v>
      </c>
      <c r="T415">
        <v>127958</v>
      </c>
      <c r="U415">
        <v>13900</v>
      </c>
      <c r="V415">
        <v>10</v>
      </c>
      <c r="W415" t="s">
        <v>31</v>
      </c>
    </row>
    <row r="416" spans="1:23" x14ac:dyDescent="0.3">
      <c r="A416" t="s">
        <v>859</v>
      </c>
      <c r="B416" t="s">
        <v>2032</v>
      </c>
      <c r="C416">
        <v>40</v>
      </c>
      <c r="D416" t="s">
        <v>41</v>
      </c>
      <c r="E416" t="s">
        <v>71</v>
      </c>
      <c r="F416" t="s">
        <v>35</v>
      </c>
      <c r="G416" t="s">
        <v>36</v>
      </c>
      <c r="H416" t="s">
        <v>76</v>
      </c>
      <c r="I416" t="s">
        <v>27</v>
      </c>
      <c r="J416" t="s">
        <v>538</v>
      </c>
      <c r="K416">
        <v>2022</v>
      </c>
      <c r="L416">
        <v>2</v>
      </c>
      <c r="M416">
        <v>16</v>
      </c>
      <c r="N416" t="s">
        <v>29</v>
      </c>
      <c r="O416">
        <v>2</v>
      </c>
      <c r="P416">
        <v>4</v>
      </c>
      <c r="Q416" t="s">
        <v>30</v>
      </c>
      <c r="R416">
        <v>20</v>
      </c>
      <c r="S416">
        <v>51</v>
      </c>
      <c r="T416">
        <v>46379</v>
      </c>
      <c r="U416">
        <v>6400</v>
      </c>
      <c r="V416">
        <v>12.8</v>
      </c>
      <c r="W416" t="s">
        <v>31</v>
      </c>
    </row>
    <row r="417" spans="1:23" x14ac:dyDescent="0.3">
      <c r="A417" t="s">
        <v>860</v>
      </c>
      <c r="B417" t="s">
        <v>1940</v>
      </c>
      <c r="C417">
        <v>41</v>
      </c>
      <c r="D417" t="s">
        <v>33</v>
      </c>
      <c r="E417" t="s">
        <v>34</v>
      </c>
      <c r="F417" t="s">
        <v>35</v>
      </c>
      <c r="G417" t="s">
        <v>36</v>
      </c>
      <c r="H417" t="s">
        <v>76</v>
      </c>
      <c r="I417" t="s">
        <v>65</v>
      </c>
      <c r="J417" t="s">
        <v>861</v>
      </c>
      <c r="K417">
        <v>2021</v>
      </c>
      <c r="L417">
        <v>3</v>
      </c>
      <c r="M417">
        <v>13</v>
      </c>
      <c r="N417" t="s">
        <v>98</v>
      </c>
      <c r="O417">
        <v>5</v>
      </c>
      <c r="P417">
        <v>1</v>
      </c>
      <c r="Q417" t="s">
        <v>30</v>
      </c>
      <c r="R417">
        <v>0</v>
      </c>
      <c r="S417">
        <v>13</v>
      </c>
      <c r="T417">
        <v>45888</v>
      </c>
      <c r="U417">
        <v>3400</v>
      </c>
      <c r="V417">
        <v>3.5</v>
      </c>
      <c r="W417" t="s">
        <v>31</v>
      </c>
    </row>
    <row r="418" spans="1:23" x14ac:dyDescent="0.3">
      <c r="A418" t="s">
        <v>862</v>
      </c>
      <c r="B418" t="s">
        <v>1929</v>
      </c>
      <c r="C418">
        <v>48</v>
      </c>
      <c r="D418" t="s">
        <v>33</v>
      </c>
      <c r="E418" t="s">
        <v>61</v>
      </c>
      <c r="F418" t="s">
        <v>57</v>
      </c>
      <c r="G418" t="s">
        <v>43</v>
      </c>
      <c r="H418" t="s">
        <v>96</v>
      </c>
      <c r="I418" t="s">
        <v>27</v>
      </c>
      <c r="J418" t="s">
        <v>565</v>
      </c>
      <c r="K418">
        <v>2022</v>
      </c>
      <c r="L418">
        <v>2</v>
      </c>
      <c r="M418">
        <v>19</v>
      </c>
      <c r="N418" t="s">
        <v>29</v>
      </c>
      <c r="O418">
        <v>1</v>
      </c>
      <c r="P418">
        <v>1</v>
      </c>
      <c r="Q418" t="s">
        <v>31</v>
      </c>
      <c r="R418">
        <v>17</v>
      </c>
      <c r="S418">
        <v>37</v>
      </c>
      <c r="T418">
        <v>110289</v>
      </c>
      <c r="U418">
        <v>11400</v>
      </c>
      <c r="V418">
        <v>3.7</v>
      </c>
      <c r="W418" t="s">
        <v>31</v>
      </c>
    </row>
    <row r="419" spans="1:23" x14ac:dyDescent="0.3">
      <c r="A419" t="s">
        <v>863</v>
      </c>
      <c r="B419" t="s">
        <v>2075</v>
      </c>
      <c r="C419">
        <v>26</v>
      </c>
      <c r="D419" t="s">
        <v>41</v>
      </c>
      <c r="E419" t="s">
        <v>34</v>
      </c>
      <c r="F419" t="s">
        <v>57</v>
      </c>
      <c r="G419" t="s">
        <v>82</v>
      </c>
      <c r="H419" t="s">
        <v>286</v>
      </c>
      <c r="I419" t="s">
        <v>27</v>
      </c>
      <c r="J419" t="s">
        <v>864</v>
      </c>
      <c r="K419">
        <v>2022</v>
      </c>
      <c r="L419">
        <v>2</v>
      </c>
      <c r="M419">
        <v>1</v>
      </c>
      <c r="N419" t="s">
        <v>29</v>
      </c>
      <c r="O419">
        <v>1</v>
      </c>
      <c r="P419">
        <v>2</v>
      </c>
      <c r="Q419" t="s">
        <v>31</v>
      </c>
      <c r="R419">
        <v>3</v>
      </c>
      <c r="S419">
        <v>36</v>
      </c>
      <c r="T419">
        <v>54658</v>
      </c>
      <c r="U419">
        <v>6000</v>
      </c>
      <c r="V419">
        <v>14.1</v>
      </c>
      <c r="W419" t="s">
        <v>31</v>
      </c>
    </row>
    <row r="420" spans="1:23" x14ac:dyDescent="0.3">
      <c r="A420" t="s">
        <v>865</v>
      </c>
      <c r="B420" t="s">
        <v>2076</v>
      </c>
      <c r="C420">
        <v>44</v>
      </c>
      <c r="D420" t="s">
        <v>41</v>
      </c>
      <c r="E420" t="s">
        <v>34</v>
      </c>
      <c r="F420" t="s">
        <v>62</v>
      </c>
      <c r="G420" t="s">
        <v>52</v>
      </c>
      <c r="H420" t="s">
        <v>208</v>
      </c>
      <c r="I420" t="s">
        <v>79</v>
      </c>
      <c r="J420" t="s">
        <v>276</v>
      </c>
      <c r="K420">
        <v>2023</v>
      </c>
      <c r="L420">
        <v>1</v>
      </c>
      <c r="M420">
        <v>20</v>
      </c>
      <c r="N420" t="s">
        <v>29</v>
      </c>
      <c r="O420">
        <v>3</v>
      </c>
      <c r="P420">
        <v>1</v>
      </c>
      <c r="Q420" t="s">
        <v>31</v>
      </c>
      <c r="R420">
        <v>8</v>
      </c>
      <c r="S420">
        <v>63</v>
      </c>
      <c r="T420">
        <v>79765</v>
      </c>
      <c r="U420">
        <v>8400</v>
      </c>
      <c r="V420">
        <v>8.1</v>
      </c>
      <c r="W420" t="s">
        <v>31</v>
      </c>
    </row>
    <row r="421" spans="1:23" x14ac:dyDescent="0.3">
      <c r="A421" t="s">
        <v>866</v>
      </c>
      <c r="B421" t="s">
        <v>1887</v>
      </c>
      <c r="C421">
        <v>29</v>
      </c>
      <c r="D421" t="s">
        <v>33</v>
      </c>
      <c r="E421" t="s">
        <v>34</v>
      </c>
      <c r="F421" t="s">
        <v>153</v>
      </c>
      <c r="G421" t="s">
        <v>36</v>
      </c>
      <c r="H421" t="s">
        <v>68</v>
      </c>
      <c r="I421" t="s">
        <v>65</v>
      </c>
      <c r="J421" t="s">
        <v>226</v>
      </c>
      <c r="K421">
        <v>2021</v>
      </c>
      <c r="L421">
        <v>3</v>
      </c>
      <c r="M421">
        <v>5</v>
      </c>
      <c r="N421" t="s">
        <v>29</v>
      </c>
      <c r="O421">
        <v>3</v>
      </c>
      <c r="P421">
        <v>2</v>
      </c>
      <c r="Q421" t="s">
        <v>30</v>
      </c>
      <c r="R421">
        <v>2</v>
      </c>
      <c r="S421">
        <v>41</v>
      </c>
      <c r="T421">
        <v>70598</v>
      </c>
      <c r="U421">
        <v>9500</v>
      </c>
      <c r="V421">
        <v>14.7</v>
      </c>
      <c r="W421" t="s">
        <v>31</v>
      </c>
    </row>
    <row r="422" spans="1:23" x14ac:dyDescent="0.3">
      <c r="A422" t="s">
        <v>867</v>
      </c>
      <c r="B422" t="s">
        <v>1859</v>
      </c>
      <c r="C422">
        <v>44</v>
      </c>
      <c r="D422" t="s">
        <v>41</v>
      </c>
      <c r="E422" t="s">
        <v>71</v>
      </c>
      <c r="F422" t="s">
        <v>42</v>
      </c>
      <c r="G422" t="s">
        <v>43</v>
      </c>
      <c r="H422" t="s">
        <v>44</v>
      </c>
      <c r="I422" t="s">
        <v>27</v>
      </c>
      <c r="J422" t="s">
        <v>868</v>
      </c>
      <c r="K422">
        <v>2023</v>
      </c>
      <c r="L422">
        <v>1</v>
      </c>
      <c r="M422">
        <v>16</v>
      </c>
      <c r="N422" t="s">
        <v>85</v>
      </c>
      <c r="O422">
        <v>5</v>
      </c>
      <c r="P422">
        <v>5</v>
      </c>
      <c r="Q422" t="s">
        <v>31</v>
      </c>
      <c r="R422">
        <v>7</v>
      </c>
      <c r="S422">
        <v>49</v>
      </c>
      <c r="T422">
        <v>113707</v>
      </c>
      <c r="U422">
        <v>26800</v>
      </c>
      <c r="V422">
        <v>14.1</v>
      </c>
      <c r="W422" t="s">
        <v>31</v>
      </c>
    </row>
    <row r="423" spans="1:23" x14ac:dyDescent="0.3">
      <c r="A423" t="s">
        <v>869</v>
      </c>
      <c r="B423" t="s">
        <v>2077</v>
      </c>
      <c r="C423">
        <v>35</v>
      </c>
      <c r="D423" t="s">
        <v>33</v>
      </c>
      <c r="E423" t="s">
        <v>34</v>
      </c>
      <c r="F423" t="s">
        <v>24</v>
      </c>
      <c r="G423" t="s">
        <v>100</v>
      </c>
      <c r="H423" t="s">
        <v>150</v>
      </c>
      <c r="I423" t="s">
        <v>79</v>
      </c>
      <c r="J423" t="s">
        <v>870</v>
      </c>
      <c r="K423">
        <v>2022</v>
      </c>
      <c r="L423">
        <v>2</v>
      </c>
      <c r="M423">
        <v>8</v>
      </c>
      <c r="N423" t="s">
        <v>29</v>
      </c>
      <c r="O423">
        <v>2</v>
      </c>
      <c r="P423">
        <v>3</v>
      </c>
      <c r="Q423" t="s">
        <v>31</v>
      </c>
      <c r="R423">
        <v>14</v>
      </c>
      <c r="S423">
        <v>18</v>
      </c>
      <c r="T423">
        <v>41124</v>
      </c>
      <c r="U423">
        <v>4900</v>
      </c>
      <c r="V423">
        <v>4.5999999999999996</v>
      </c>
      <c r="W423" t="s">
        <v>31</v>
      </c>
    </row>
    <row r="424" spans="1:23" x14ac:dyDescent="0.3">
      <c r="A424" t="s">
        <v>871</v>
      </c>
      <c r="B424" t="s">
        <v>2078</v>
      </c>
      <c r="C424">
        <v>28</v>
      </c>
      <c r="D424" t="s">
        <v>41</v>
      </c>
      <c r="E424" t="s">
        <v>34</v>
      </c>
      <c r="F424" t="s">
        <v>51</v>
      </c>
      <c r="G424" t="s">
        <v>36</v>
      </c>
      <c r="H424" t="s">
        <v>89</v>
      </c>
      <c r="I424" t="s">
        <v>79</v>
      </c>
      <c r="J424" t="s">
        <v>158</v>
      </c>
      <c r="K424">
        <v>2021</v>
      </c>
      <c r="L424">
        <v>3</v>
      </c>
      <c r="M424">
        <v>4</v>
      </c>
      <c r="N424" t="s">
        <v>98</v>
      </c>
      <c r="O424">
        <v>2</v>
      </c>
      <c r="P424">
        <v>1</v>
      </c>
      <c r="Q424" t="s">
        <v>31</v>
      </c>
      <c r="R424">
        <v>4</v>
      </c>
      <c r="S424">
        <v>46</v>
      </c>
      <c r="T424">
        <v>46726</v>
      </c>
      <c r="U424">
        <v>3200</v>
      </c>
      <c r="V424">
        <v>3.6</v>
      </c>
      <c r="W424" t="s">
        <v>31</v>
      </c>
    </row>
    <row r="425" spans="1:23" x14ac:dyDescent="0.3">
      <c r="A425" t="s">
        <v>872</v>
      </c>
      <c r="B425" t="s">
        <v>2079</v>
      </c>
      <c r="C425">
        <v>35</v>
      </c>
      <c r="D425" t="s">
        <v>41</v>
      </c>
      <c r="E425" t="s">
        <v>71</v>
      </c>
      <c r="F425" t="s">
        <v>137</v>
      </c>
      <c r="G425" t="s">
        <v>25</v>
      </c>
      <c r="H425" t="s">
        <v>205</v>
      </c>
      <c r="I425" t="s">
        <v>27</v>
      </c>
      <c r="J425" t="s">
        <v>873</v>
      </c>
      <c r="K425">
        <v>2024</v>
      </c>
      <c r="L425">
        <v>0</v>
      </c>
      <c r="M425">
        <v>6</v>
      </c>
      <c r="N425" t="s">
        <v>29</v>
      </c>
      <c r="O425">
        <v>2</v>
      </c>
      <c r="P425">
        <v>1</v>
      </c>
      <c r="Q425" t="s">
        <v>31</v>
      </c>
      <c r="R425">
        <v>20</v>
      </c>
      <c r="S425">
        <v>4</v>
      </c>
      <c r="T425">
        <v>104027</v>
      </c>
      <c r="U425">
        <v>14700</v>
      </c>
      <c r="V425">
        <v>8.6</v>
      </c>
      <c r="W425" t="s">
        <v>31</v>
      </c>
    </row>
    <row r="426" spans="1:23" x14ac:dyDescent="0.3">
      <c r="A426" t="s">
        <v>874</v>
      </c>
      <c r="B426" t="s">
        <v>2053</v>
      </c>
      <c r="C426">
        <v>44</v>
      </c>
      <c r="D426" t="s">
        <v>41</v>
      </c>
      <c r="E426" t="s">
        <v>56</v>
      </c>
      <c r="F426" t="s">
        <v>153</v>
      </c>
      <c r="G426" t="s">
        <v>82</v>
      </c>
      <c r="H426" t="s">
        <v>83</v>
      </c>
      <c r="I426" t="s">
        <v>65</v>
      </c>
      <c r="J426" t="s">
        <v>875</v>
      </c>
      <c r="K426">
        <v>2024</v>
      </c>
      <c r="L426">
        <v>0</v>
      </c>
      <c r="M426">
        <v>18</v>
      </c>
      <c r="N426" t="s">
        <v>29</v>
      </c>
      <c r="O426">
        <v>2</v>
      </c>
      <c r="P426">
        <v>2</v>
      </c>
      <c r="Q426" t="s">
        <v>30</v>
      </c>
      <c r="R426">
        <v>12</v>
      </c>
      <c r="S426">
        <v>79</v>
      </c>
      <c r="T426">
        <v>77890</v>
      </c>
      <c r="U426">
        <v>8300</v>
      </c>
      <c r="V426">
        <v>14.2</v>
      </c>
      <c r="W426" t="s">
        <v>31</v>
      </c>
    </row>
    <row r="427" spans="1:23" x14ac:dyDescent="0.3">
      <c r="A427" t="s">
        <v>876</v>
      </c>
      <c r="B427" t="s">
        <v>2080</v>
      </c>
      <c r="C427">
        <v>43</v>
      </c>
      <c r="D427" t="s">
        <v>41</v>
      </c>
      <c r="E427" t="s">
        <v>71</v>
      </c>
      <c r="F427" t="s">
        <v>57</v>
      </c>
      <c r="G427" t="s">
        <v>43</v>
      </c>
      <c r="H427" t="s">
        <v>72</v>
      </c>
      <c r="I427" t="s">
        <v>27</v>
      </c>
      <c r="J427" t="s">
        <v>244</v>
      </c>
      <c r="K427">
        <v>2021</v>
      </c>
      <c r="L427">
        <v>3</v>
      </c>
      <c r="M427">
        <v>16</v>
      </c>
      <c r="N427" t="s">
        <v>98</v>
      </c>
      <c r="O427">
        <v>3</v>
      </c>
      <c r="P427">
        <v>5</v>
      </c>
      <c r="Q427" t="s">
        <v>30</v>
      </c>
      <c r="R427">
        <v>24</v>
      </c>
      <c r="S427">
        <v>42</v>
      </c>
      <c r="T427">
        <v>123097</v>
      </c>
      <c r="U427">
        <v>7500</v>
      </c>
      <c r="V427">
        <v>12.6</v>
      </c>
      <c r="W427" t="s">
        <v>31</v>
      </c>
    </row>
    <row r="428" spans="1:23" x14ac:dyDescent="0.3">
      <c r="A428" t="s">
        <v>877</v>
      </c>
      <c r="B428" t="s">
        <v>2081</v>
      </c>
      <c r="C428">
        <v>42</v>
      </c>
      <c r="D428" t="s">
        <v>41</v>
      </c>
      <c r="E428" t="s">
        <v>61</v>
      </c>
      <c r="F428" t="s">
        <v>62</v>
      </c>
      <c r="G428" t="s">
        <v>25</v>
      </c>
      <c r="H428" t="s">
        <v>26</v>
      </c>
      <c r="I428" t="s">
        <v>27</v>
      </c>
      <c r="J428" t="s">
        <v>878</v>
      </c>
      <c r="K428">
        <v>2021</v>
      </c>
      <c r="L428">
        <v>3</v>
      </c>
      <c r="M428">
        <v>20</v>
      </c>
      <c r="N428" t="s">
        <v>85</v>
      </c>
      <c r="O428">
        <v>5</v>
      </c>
      <c r="P428">
        <v>4</v>
      </c>
      <c r="Q428" t="s">
        <v>30</v>
      </c>
      <c r="R428">
        <v>1</v>
      </c>
      <c r="S428">
        <v>6</v>
      </c>
      <c r="T428">
        <v>75258</v>
      </c>
      <c r="U428">
        <v>13300</v>
      </c>
      <c r="V428">
        <v>14.2</v>
      </c>
      <c r="W428" t="s">
        <v>31</v>
      </c>
    </row>
    <row r="429" spans="1:23" x14ac:dyDescent="0.3">
      <c r="A429" t="s">
        <v>879</v>
      </c>
      <c r="B429" t="s">
        <v>1863</v>
      </c>
      <c r="C429">
        <v>42</v>
      </c>
      <c r="D429" t="s">
        <v>41</v>
      </c>
      <c r="E429" t="s">
        <v>34</v>
      </c>
      <c r="F429" t="s">
        <v>42</v>
      </c>
      <c r="G429" t="s">
        <v>36</v>
      </c>
      <c r="H429" t="s">
        <v>68</v>
      </c>
      <c r="I429" t="s">
        <v>27</v>
      </c>
      <c r="J429" t="s">
        <v>880</v>
      </c>
      <c r="K429">
        <v>2023</v>
      </c>
      <c r="L429">
        <v>1</v>
      </c>
      <c r="M429">
        <v>17</v>
      </c>
      <c r="N429" t="s">
        <v>98</v>
      </c>
      <c r="O429">
        <v>2</v>
      </c>
      <c r="P429">
        <v>1</v>
      </c>
      <c r="Q429" t="s">
        <v>31</v>
      </c>
      <c r="R429">
        <v>18</v>
      </c>
      <c r="S429">
        <v>48</v>
      </c>
      <c r="T429">
        <v>70601</v>
      </c>
      <c r="U429">
        <v>5900</v>
      </c>
      <c r="V429">
        <v>11.4</v>
      </c>
      <c r="W429" t="s">
        <v>30</v>
      </c>
    </row>
    <row r="430" spans="1:23" x14ac:dyDescent="0.3">
      <c r="A430" t="s">
        <v>881</v>
      </c>
      <c r="B430" t="s">
        <v>1906</v>
      </c>
      <c r="C430">
        <v>38</v>
      </c>
      <c r="D430" t="s">
        <v>33</v>
      </c>
      <c r="E430" t="s">
        <v>56</v>
      </c>
      <c r="F430" t="s">
        <v>42</v>
      </c>
      <c r="G430" t="s">
        <v>52</v>
      </c>
      <c r="H430" t="s">
        <v>320</v>
      </c>
      <c r="I430" t="s">
        <v>27</v>
      </c>
      <c r="J430" t="s">
        <v>194</v>
      </c>
      <c r="K430">
        <v>2023</v>
      </c>
      <c r="L430">
        <v>1</v>
      </c>
      <c r="M430">
        <v>15</v>
      </c>
      <c r="N430" t="s">
        <v>39</v>
      </c>
      <c r="O430">
        <v>5</v>
      </c>
      <c r="P430">
        <v>5</v>
      </c>
      <c r="Q430" t="s">
        <v>31</v>
      </c>
      <c r="R430">
        <v>24</v>
      </c>
      <c r="S430">
        <v>43</v>
      </c>
      <c r="T430">
        <v>51113</v>
      </c>
      <c r="U430">
        <v>1400</v>
      </c>
      <c r="V430">
        <v>5.6</v>
      </c>
      <c r="W430" t="s">
        <v>31</v>
      </c>
    </row>
    <row r="431" spans="1:23" x14ac:dyDescent="0.3">
      <c r="A431" t="s">
        <v>882</v>
      </c>
      <c r="B431" t="s">
        <v>1822</v>
      </c>
      <c r="C431">
        <v>36</v>
      </c>
      <c r="D431" t="s">
        <v>33</v>
      </c>
      <c r="E431" t="s">
        <v>56</v>
      </c>
      <c r="F431" t="s">
        <v>51</v>
      </c>
      <c r="G431" t="s">
        <v>52</v>
      </c>
      <c r="H431" t="s">
        <v>320</v>
      </c>
      <c r="I431" t="s">
        <v>27</v>
      </c>
      <c r="J431" t="s">
        <v>883</v>
      </c>
      <c r="K431">
        <v>2023</v>
      </c>
      <c r="L431">
        <v>1</v>
      </c>
      <c r="M431">
        <v>14</v>
      </c>
      <c r="N431" t="s">
        <v>29</v>
      </c>
      <c r="O431">
        <v>1</v>
      </c>
      <c r="P431">
        <v>2</v>
      </c>
      <c r="Q431" t="s">
        <v>30</v>
      </c>
      <c r="R431">
        <v>24</v>
      </c>
      <c r="S431">
        <v>39</v>
      </c>
      <c r="T431">
        <v>89752</v>
      </c>
      <c r="U431">
        <v>9500</v>
      </c>
      <c r="V431">
        <v>10.3</v>
      </c>
      <c r="W431" t="s">
        <v>30</v>
      </c>
    </row>
    <row r="432" spans="1:23" x14ac:dyDescent="0.3">
      <c r="A432" t="s">
        <v>884</v>
      </c>
      <c r="B432" t="s">
        <v>1909</v>
      </c>
      <c r="C432">
        <v>29</v>
      </c>
      <c r="D432" t="s">
        <v>41</v>
      </c>
      <c r="E432" t="s">
        <v>71</v>
      </c>
      <c r="F432" t="s">
        <v>47</v>
      </c>
      <c r="G432" t="s">
        <v>36</v>
      </c>
      <c r="H432" t="s">
        <v>76</v>
      </c>
      <c r="I432" t="s">
        <v>27</v>
      </c>
      <c r="J432" t="s">
        <v>885</v>
      </c>
      <c r="K432">
        <v>2022</v>
      </c>
      <c r="L432">
        <v>2</v>
      </c>
      <c r="M432">
        <v>3</v>
      </c>
      <c r="N432" t="s">
        <v>85</v>
      </c>
      <c r="O432">
        <v>4</v>
      </c>
      <c r="P432">
        <v>2</v>
      </c>
      <c r="Q432" t="s">
        <v>31</v>
      </c>
      <c r="R432">
        <v>3</v>
      </c>
      <c r="S432">
        <v>72</v>
      </c>
      <c r="T432">
        <v>68158</v>
      </c>
      <c r="U432">
        <v>11900</v>
      </c>
      <c r="V432">
        <v>12.3</v>
      </c>
      <c r="W432" t="s">
        <v>31</v>
      </c>
    </row>
    <row r="433" spans="1:23" x14ac:dyDescent="0.3">
      <c r="A433" t="s">
        <v>886</v>
      </c>
      <c r="B433" t="s">
        <v>1893</v>
      </c>
      <c r="C433">
        <v>44</v>
      </c>
      <c r="D433" t="s">
        <v>41</v>
      </c>
      <c r="E433" t="s">
        <v>34</v>
      </c>
      <c r="F433" t="s">
        <v>47</v>
      </c>
      <c r="G433" t="s">
        <v>43</v>
      </c>
      <c r="H433" t="s">
        <v>48</v>
      </c>
      <c r="I433" t="s">
        <v>79</v>
      </c>
      <c r="J433" t="s">
        <v>887</v>
      </c>
      <c r="K433">
        <v>2024</v>
      </c>
      <c r="L433">
        <v>0</v>
      </c>
      <c r="M433">
        <v>20</v>
      </c>
      <c r="N433" t="s">
        <v>98</v>
      </c>
      <c r="O433">
        <v>1</v>
      </c>
      <c r="P433">
        <v>5</v>
      </c>
      <c r="Q433" t="s">
        <v>31</v>
      </c>
      <c r="R433">
        <v>20</v>
      </c>
      <c r="S433">
        <v>7</v>
      </c>
      <c r="T433">
        <v>137171</v>
      </c>
      <c r="U433">
        <v>11300</v>
      </c>
      <c r="V433">
        <v>7.5</v>
      </c>
      <c r="W433" t="s">
        <v>31</v>
      </c>
    </row>
    <row r="434" spans="1:23" x14ac:dyDescent="0.3">
      <c r="A434" t="s">
        <v>888</v>
      </c>
      <c r="B434" t="s">
        <v>1803</v>
      </c>
      <c r="C434">
        <v>37</v>
      </c>
      <c r="D434" t="s">
        <v>33</v>
      </c>
      <c r="E434" t="s">
        <v>71</v>
      </c>
      <c r="F434" t="s">
        <v>42</v>
      </c>
      <c r="G434" t="s">
        <v>36</v>
      </c>
      <c r="H434" t="s">
        <v>37</v>
      </c>
      <c r="I434" t="s">
        <v>65</v>
      </c>
      <c r="J434" t="s">
        <v>889</v>
      </c>
      <c r="K434">
        <v>2022</v>
      </c>
      <c r="L434">
        <v>2</v>
      </c>
      <c r="M434">
        <v>13</v>
      </c>
      <c r="N434" t="s">
        <v>29</v>
      </c>
      <c r="O434">
        <v>4</v>
      </c>
      <c r="P434">
        <v>1</v>
      </c>
      <c r="Q434" t="s">
        <v>31</v>
      </c>
      <c r="R434">
        <v>2</v>
      </c>
      <c r="S434">
        <v>23</v>
      </c>
      <c r="T434">
        <v>49782</v>
      </c>
      <c r="U434">
        <v>6900</v>
      </c>
      <c r="V434">
        <v>11</v>
      </c>
      <c r="W434" t="s">
        <v>31</v>
      </c>
    </row>
    <row r="435" spans="1:23" x14ac:dyDescent="0.3">
      <c r="A435" t="s">
        <v>890</v>
      </c>
      <c r="B435" t="s">
        <v>2003</v>
      </c>
      <c r="C435">
        <v>34</v>
      </c>
      <c r="D435" t="s">
        <v>33</v>
      </c>
      <c r="E435" t="s">
        <v>34</v>
      </c>
      <c r="F435" t="s">
        <v>35</v>
      </c>
      <c r="G435" t="s">
        <v>117</v>
      </c>
      <c r="H435" t="s">
        <v>298</v>
      </c>
      <c r="I435" t="s">
        <v>65</v>
      </c>
      <c r="J435" t="s">
        <v>477</v>
      </c>
      <c r="K435">
        <v>2024</v>
      </c>
      <c r="L435">
        <v>0</v>
      </c>
      <c r="M435">
        <v>11</v>
      </c>
      <c r="N435" t="s">
        <v>29</v>
      </c>
      <c r="O435">
        <v>2</v>
      </c>
      <c r="P435">
        <v>2</v>
      </c>
      <c r="Q435" t="s">
        <v>30</v>
      </c>
      <c r="R435">
        <v>10</v>
      </c>
      <c r="S435">
        <v>72</v>
      </c>
      <c r="T435">
        <v>94607</v>
      </c>
      <c r="U435">
        <v>12300</v>
      </c>
      <c r="V435">
        <v>8.6999999999999993</v>
      </c>
      <c r="W435" t="s">
        <v>31</v>
      </c>
    </row>
    <row r="436" spans="1:23" x14ac:dyDescent="0.3">
      <c r="A436" t="s">
        <v>891</v>
      </c>
      <c r="B436" t="s">
        <v>2082</v>
      </c>
      <c r="C436">
        <v>29</v>
      </c>
      <c r="D436" t="s">
        <v>22</v>
      </c>
      <c r="E436" t="s">
        <v>34</v>
      </c>
      <c r="F436" t="s">
        <v>153</v>
      </c>
      <c r="G436" t="s">
        <v>82</v>
      </c>
      <c r="H436" t="s">
        <v>286</v>
      </c>
      <c r="I436" t="s">
        <v>27</v>
      </c>
      <c r="J436" t="s">
        <v>892</v>
      </c>
      <c r="K436">
        <v>2023</v>
      </c>
      <c r="L436">
        <v>1</v>
      </c>
      <c r="M436">
        <v>7</v>
      </c>
      <c r="N436" t="s">
        <v>39</v>
      </c>
      <c r="O436">
        <v>4</v>
      </c>
      <c r="P436">
        <v>4</v>
      </c>
      <c r="Q436" t="s">
        <v>30</v>
      </c>
      <c r="R436">
        <v>16</v>
      </c>
      <c r="S436">
        <v>27</v>
      </c>
      <c r="T436">
        <v>46503</v>
      </c>
      <c r="U436">
        <v>1500</v>
      </c>
      <c r="V436">
        <v>6.2</v>
      </c>
      <c r="W436" t="s">
        <v>30</v>
      </c>
    </row>
    <row r="437" spans="1:23" x14ac:dyDescent="0.3">
      <c r="A437" t="s">
        <v>893</v>
      </c>
      <c r="B437" t="s">
        <v>1974</v>
      </c>
      <c r="C437">
        <v>34</v>
      </c>
      <c r="D437" t="s">
        <v>41</v>
      </c>
      <c r="E437" t="s">
        <v>34</v>
      </c>
      <c r="F437" t="s">
        <v>62</v>
      </c>
      <c r="G437" t="s">
        <v>36</v>
      </c>
      <c r="H437" t="s">
        <v>68</v>
      </c>
      <c r="I437" t="s">
        <v>27</v>
      </c>
      <c r="J437" t="s">
        <v>812</v>
      </c>
      <c r="K437">
        <v>2024</v>
      </c>
      <c r="L437">
        <v>0</v>
      </c>
      <c r="M437">
        <v>10</v>
      </c>
      <c r="N437" t="s">
        <v>29</v>
      </c>
      <c r="O437">
        <v>1</v>
      </c>
      <c r="P437">
        <v>5</v>
      </c>
      <c r="Q437" t="s">
        <v>31</v>
      </c>
      <c r="R437">
        <v>19</v>
      </c>
      <c r="S437">
        <v>25</v>
      </c>
      <c r="T437">
        <v>72466</v>
      </c>
      <c r="U437">
        <v>8800</v>
      </c>
      <c r="V437">
        <v>12.4</v>
      </c>
      <c r="W437" t="s">
        <v>31</v>
      </c>
    </row>
    <row r="438" spans="1:23" x14ac:dyDescent="0.3">
      <c r="A438" t="s">
        <v>894</v>
      </c>
      <c r="B438" t="s">
        <v>2031</v>
      </c>
      <c r="C438">
        <v>33</v>
      </c>
      <c r="D438" t="s">
        <v>33</v>
      </c>
      <c r="E438" t="s">
        <v>34</v>
      </c>
      <c r="F438" t="s">
        <v>137</v>
      </c>
      <c r="G438" t="s">
        <v>43</v>
      </c>
      <c r="H438" t="s">
        <v>72</v>
      </c>
      <c r="I438" t="s">
        <v>65</v>
      </c>
      <c r="J438" t="s">
        <v>895</v>
      </c>
      <c r="K438">
        <v>2022</v>
      </c>
      <c r="L438">
        <v>2</v>
      </c>
      <c r="M438">
        <v>11</v>
      </c>
      <c r="N438" t="s">
        <v>39</v>
      </c>
      <c r="O438">
        <v>2</v>
      </c>
      <c r="P438">
        <v>4</v>
      </c>
      <c r="Q438" t="s">
        <v>30</v>
      </c>
      <c r="R438">
        <v>20</v>
      </c>
      <c r="S438">
        <v>74</v>
      </c>
      <c r="T438">
        <v>130117</v>
      </c>
      <c r="U438">
        <v>3900</v>
      </c>
      <c r="V438">
        <v>6.8</v>
      </c>
      <c r="W438" t="s">
        <v>31</v>
      </c>
    </row>
    <row r="439" spans="1:23" x14ac:dyDescent="0.3">
      <c r="A439" t="s">
        <v>896</v>
      </c>
      <c r="B439" t="s">
        <v>2083</v>
      </c>
      <c r="C439">
        <v>34</v>
      </c>
      <c r="D439" t="s">
        <v>41</v>
      </c>
      <c r="E439" t="s">
        <v>34</v>
      </c>
      <c r="F439" t="s">
        <v>137</v>
      </c>
      <c r="G439" t="s">
        <v>52</v>
      </c>
      <c r="H439" t="s">
        <v>132</v>
      </c>
      <c r="I439" t="s">
        <v>27</v>
      </c>
      <c r="J439" t="s">
        <v>897</v>
      </c>
      <c r="K439">
        <v>2024</v>
      </c>
      <c r="L439">
        <v>0</v>
      </c>
      <c r="M439">
        <v>6</v>
      </c>
      <c r="N439" t="s">
        <v>39</v>
      </c>
      <c r="O439">
        <v>3</v>
      </c>
      <c r="P439">
        <v>5</v>
      </c>
      <c r="Q439" t="s">
        <v>31</v>
      </c>
      <c r="R439">
        <v>3</v>
      </c>
      <c r="S439">
        <v>63</v>
      </c>
      <c r="T439">
        <v>58747</v>
      </c>
      <c r="U439">
        <v>2100</v>
      </c>
      <c r="V439">
        <v>9.9</v>
      </c>
      <c r="W439" t="s">
        <v>30</v>
      </c>
    </row>
    <row r="440" spans="1:23" x14ac:dyDescent="0.3">
      <c r="A440" t="s">
        <v>898</v>
      </c>
      <c r="B440" t="s">
        <v>2084</v>
      </c>
      <c r="C440">
        <v>34</v>
      </c>
      <c r="D440" t="s">
        <v>41</v>
      </c>
      <c r="E440" t="s">
        <v>56</v>
      </c>
      <c r="F440" t="s">
        <v>153</v>
      </c>
      <c r="G440" t="s">
        <v>82</v>
      </c>
      <c r="H440" t="s">
        <v>323</v>
      </c>
      <c r="I440" t="s">
        <v>27</v>
      </c>
      <c r="J440" t="s">
        <v>355</v>
      </c>
      <c r="K440">
        <v>2024</v>
      </c>
      <c r="L440">
        <v>0</v>
      </c>
      <c r="M440">
        <v>11</v>
      </c>
      <c r="N440" t="s">
        <v>29</v>
      </c>
      <c r="O440">
        <v>5</v>
      </c>
      <c r="P440">
        <v>1</v>
      </c>
      <c r="Q440" t="s">
        <v>31</v>
      </c>
      <c r="R440">
        <v>2</v>
      </c>
      <c r="S440">
        <v>13</v>
      </c>
      <c r="T440">
        <v>75069</v>
      </c>
      <c r="U440">
        <v>7800</v>
      </c>
      <c r="V440">
        <v>10.1</v>
      </c>
      <c r="W440" t="s">
        <v>31</v>
      </c>
    </row>
    <row r="441" spans="1:23" x14ac:dyDescent="0.3">
      <c r="A441" t="s">
        <v>899</v>
      </c>
      <c r="B441" t="s">
        <v>2085</v>
      </c>
      <c r="C441">
        <v>50</v>
      </c>
      <c r="D441" t="s">
        <v>33</v>
      </c>
      <c r="E441" t="s">
        <v>34</v>
      </c>
      <c r="F441" t="s">
        <v>51</v>
      </c>
      <c r="G441" t="s">
        <v>52</v>
      </c>
      <c r="H441" t="s">
        <v>132</v>
      </c>
      <c r="I441" t="s">
        <v>27</v>
      </c>
      <c r="J441" t="s">
        <v>900</v>
      </c>
      <c r="K441">
        <v>2024</v>
      </c>
      <c r="L441">
        <v>0</v>
      </c>
      <c r="M441">
        <v>20</v>
      </c>
      <c r="N441" t="s">
        <v>29</v>
      </c>
      <c r="O441">
        <v>1</v>
      </c>
      <c r="P441">
        <v>2</v>
      </c>
      <c r="Q441" t="s">
        <v>30</v>
      </c>
      <c r="R441">
        <v>15</v>
      </c>
      <c r="S441">
        <v>15</v>
      </c>
      <c r="T441">
        <v>74104</v>
      </c>
      <c r="U441">
        <v>10000</v>
      </c>
      <c r="V441">
        <v>11</v>
      </c>
      <c r="W441" t="s">
        <v>31</v>
      </c>
    </row>
    <row r="442" spans="1:23" x14ac:dyDescent="0.3">
      <c r="A442" t="s">
        <v>901</v>
      </c>
      <c r="B442" t="s">
        <v>2086</v>
      </c>
      <c r="C442">
        <v>38</v>
      </c>
      <c r="D442" t="s">
        <v>22</v>
      </c>
      <c r="E442" t="s">
        <v>34</v>
      </c>
      <c r="F442" t="s">
        <v>153</v>
      </c>
      <c r="G442" t="s">
        <v>25</v>
      </c>
      <c r="H442" t="s">
        <v>58</v>
      </c>
      <c r="I442" t="s">
        <v>27</v>
      </c>
      <c r="J442" t="s">
        <v>902</v>
      </c>
      <c r="K442">
        <v>2024</v>
      </c>
      <c r="L442">
        <v>0</v>
      </c>
      <c r="M442">
        <v>8</v>
      </c>
      <c r="N442" t="s">
        <v>29</v>
      </c>
      <c r="O442">
        <v>1</v>
      </c>
      <c r="P442">
        <v>2</v>
      </c>
      <c r="Q442" t="s">
        <v>30</v>
      </c>
      <c r="R442">
        <v>11</v>
      </c>
      <c r="S442">
        <v>66</v>
      </c>
      <c r="T442">
        <v>98167</v>
      </c>
      <c r="U442">
        <v>13400</v>
      </c>
      <c r="V442">
        <v>12.5</v>
      </c>
      <c r="W442" t="s">
        <v>31</v>
      </c>
    </row>
    <row r="443" spans="1:23" x14ac:dyDescent="0.3">
      <c r="A443" t="s">
        <v>903</v>
      </c>
      <c r="B443" t="s">
        <v>2006</v>
      </c>
      <c r="C443">
        <v>35</v>
      </c>
      <c r="D443" t="s">
        <v>41</v>
      </c>
      <c r="E443" t="s">
        <v>61</v>
      </c>
      <c r="F443" t="s">
        <v>24</v>
      </c>
      <c r="G443" t="s">
        <v>117</v>
      </c>
      <c r="H443" t="s">
        <v>184</v>
      </c>
      <c r="I443" t="s">
        <v>27</v>
      </c>
      <c r="J443" t="s">
        <v>232</v>
      </c>
      <c r="K443">
        <v>2022</v>
      </c>
      <c r="L443">
        <v>2</v>
      </c>
      <c r="M443">
        <v>7</v>
      </c>
      <c r="N443" t="s">
        <v>29</v>
      </c>
      <c r="O443">
        <v>4</v>
      </c>
      <c r="P443">
        <v>2</v>
      </c>
      <c r="Q443" t="s">
        <v>31</v>
      </c>
      <c r="R443">
        <v>3</v>
      </c>
      <c r="S443">
        <v>16</v>
      </c>
      <c r="T443">
        <v>92870</v>
      </c>
      <c r="U443">
        <v>13100</v>
      </c>
      <c r="V443">
        <v>7.7</v>
      </c>
      <c r="W443" t="s">
        <v>31</v>
      </c>
    </row>
    <row r="444" spans="1:23" x14ac:dyDescent="0.3">
      <c r="A444" t="s">
        <v>904</v>
      </c>
      <c r="B444" t="s">
        <v>2087</v>
      </c>
      <c r="C444">
        <v>36</v>
      </c>
      <c r="D444" t="s">
        <v>33</v>
      </c>
      <c r="E444" t="s">
        <v>34</v>
      </c>
      <c r="F444" t="s">
        <v>57</v>
      </c>
      <c r="G444" t="s">
        <v>100</v>
      </c>
      <c r="H444" t="s">
        <v>150</v>
      </c>
      <c r="I444" t="s">
        <v>27</v>
      </c>
      <c r="J444" t="s">
        <v>905</v>
      </c>
      <c r="K444">
        <v>2023</v>
      </c>
      <c r="L444">
        <v>1</v>
      </c>
      <c r="M444">
        <v>11</v>
      </c>
      <c r="N444" t="s">
        <v>29</v>
      </c>
      <c r="O444">
        <v>1</v>
      </c>
      <c r="P444">
        <v>2</v>
      </c>
      <c r="Q444" t="s">
        <v>31</v>
      </c>
      <c r="R444">
        <v>14</v>
      </c>
      <c r="S444">
        <v>80</v>
      </c>
      <c r="T444">
        <v>41680</v>
      </c>
      <c r="U444">
        <v>5300</v>
      </c>
      <c r="V444">
        <v>10.1</v>
      </c>
      <c r="W444" t="s">
        <v>30</v>
      </c>
    </row>
    <row r="445" spans="1:23" x14ac:dyDescent="0.3">
      <c r="A445" t="s">
        <v>906</v>
      </c>
      <c r="B445" t="s">
        <v>1984</v>
      </c>
      <c r="C445">
        <v>43</v>
      </c>
      <c r="D445" t="s">
        <v>41</v>
      </c>
      <c r="E445" t="s">
        <v>71</v>
      </c>
      <c r="F445" t="s">
        <v>62</v>
      </c>
      <c r="G445" t="s">
        <v>117</v>
      </c>
      <c r="H445" t="s">
        <v>184</v>
      </c>
      <c r="I445" t="s">
        <v>79</v>
      </c>
      <c r="J445" t="s">
        <v>417</v>
      </c>
      <c r="K445">
        <v>2022</v>
      </c>
      <c r="L445">
        <v>2</v>
      </c>
      <c r="M445">
        <v>18</v>
      </c>
      <c r="N445" t="s">
        <v>98</v>
      </c>
      <c r="O445">
        <v>1</v>
      </c>
      <c r="P445">
        <v>4</v>
      </c>
      <c r="Q445" t="s">
        <v>31</v>
      </c>
      <c r="R445">
        <v>19</v>
      </c>
      <c r="S445">
        <v>15</v>
      </c>
      <c r="T445">
        <v>79779</v>
      </c>
      <c r="U445">
        <v>5900</v>
      </c>
      <c r="V445">
        <v>6.3</v>
      </c>
      <c r="W445" t="s">
        <v>31</v>
      </c>
    </row>
    <row r="446" spans="1:23" x14ac:dyDescent="0.3">
      <c r="A446" t="s">
        <v>907</v>
      </c>
      <c r="B446" t="s">
        <v>2044</v>
      </c>
      <c r="C446">
        <v>43</v>
      </c>
      <c r="D446" t="s">
        <v>41</v>
      </c>
      <c r="E446" t="s">
        <v>56</v>
      </c>
      <c r="F446" t="s">
        <v>57</v>
      </c>
      <c r="G446" t="s">
        <v>63</v>
      </c>
      <c r="H446" t="s">
        <v>310</v>
      </c>
      <c r="I446" t="s">
        <v>27</v>
      </c>
      <c r="J446" t="s">
        <v>908</v>
      </c>
      <c r="K446">
        <v>2022</v>
      </c>
      <c r="L446">
        <v>2</v>
      </c>
      <c r="M446">
        <v>16</v>
      </c>
      <c r="N446" t="s">
        <v>29</v>
      </c>
      <c r="O446">
        <v>4</v>
      </c>
      <c r="P446">
        <v>4</v>
      </c>
      <c r="Q446" t="s">
        <v>31</v>
      </c>
      <c r="R446">
        <v>10</v>
      </c>
      <c r="S446">
        <v>57</v>
      </c>
      <c r="T446">
        <v>41814</v>
      </c>
      <c r="U446">
        <v>5000</v>
      </c>
      <c r="V446">
        <v>3.3</v>
      </c>
      <c r="W446" t="s">
        <v>30</v>
      </c>
    </row>
    <row r="447" spans="1:23" x14ac:dyDescent="0.3">
      <c r="A447" t="s">
        <v>909</v>
      </c>
      <c r="B447" t="s">
        <v>1818</v>
      </c>
      <c r="C447">
        <v>42</v>
      </c>
      <c r="D447" t="s">
        <v>41</v>
      </c>
      <c r="E447" t="s">
        <v>34</v>
      </c>
      <c r="F447" t="s">
        <v>57</v>
      </c>
      <c r="G447" t="s">
        <v>100</v>
      </c>
      <c r="H447" t="s">
        <v>145</v>
      </c>
      <c r="I447" t="s">
        <v>27</v>
      </c>
      <c r="J447" t="s">
        <v>209</v>
      </c>
      <c r="K447">
        <v>2022</v>
      </c>
      <c r="L447">
        <v>2</v>
      </c>
      <c r="M447">
        <v>20</v>
      </c>
      <c r="N447" t="s">
        <v>39</v>
      </c>
      <c r="O447">
        <v>1</v>
      </c>
      <c r="P447">
        <v>5</v>
      </c>
      <c r="Q447" t="s">
        <v>31</v>
      </c>
      <c r="R447">
        <v>0</v>
      </c>
      <c r="S447">
        <v>66</v>
      </c>
      <c r="T447">
        <v>62466</v>
      </c>
      <c r="U447">
        <v>1900</v>
      </c>
      <c r="V447">
        <v>10.4</v>
      </c>
      <c r="W447" t="s">
        <v>31</v>
      </c>
    </row>
    <row r="448" spans="1:23" x14ac:dyDescent="0.3">
      <c r="A448" t="s">
        <v>910</v>
      </c>
      <c r="B448" t="s">
        <v>2076</v>
      </c>
      <c r="C448">
        <v>30</v>
      </c>
      <c r="D448" t="s">
        <v>41</v>
      </c>
      <c r="E448" t="s">
        <v>34</v>
      </c>
      <c r="F448" t="s">
        <v>47</v>
      </c>
      <c r="G448" t="s">
        <v>25</v>
      </c>
      <c r="H448" t="s">
        <v>205</v>
      </c>
      <c r="I448" t="s">
        <v>27</v>
      </c>
      <c r="J448" t="s">
        <v>911</v>
      </c>
      <c r="K448">
        <v>2022</v>
      </c>
      <c r="L448">
        <v>2</v>
      </c>
      <c r="M448">
        <v>5</v>
      </c>
      <c r="N448" t="s">
        <v>39</v>
      </c>
      <c r="O448">
        <v>4</v>
      </c>
      <c r="P448">
        <v>4</v>
      </c>
      <c r="Q448" t="s">
        <v>31</v>
      </c>
      <c r="R448">
        <v>16</v>
      </c>
      <c r="S448">
        <v>51</v>
      </c>
      <c r="T448">
        <v>100324</v>
      </c>
      <c r="U448">
        <v>2700</v>
      </c>
      <c r="V448">
        <v>8.8000000000000007</v>
      </c>
      <c r="W448" t="s">
        <v>31</v>
      </c>
    </row>
    <row r="449" spans="1:23" x14ac:dyDescent="0.3">
      <c r="A449" t="s">
        <v>912</v>
      </c>
      <c r="B449" t="s">
        <v>2088</v>
      </c>
      <c r="C449">
        <v>45</v>
      </c>
      <c r="D449" t="s">
        <v>41</v>
      </c>
      <c r="E449" t="s">
        <v>34</v>
      </c>
      <c r="F449" t="s">
        <v>62</v>
      </c>
      <c r="G449" t="s">
        <v>82</v>
      </c>
      <c r="H449" t="s">
        <v>83</v>
      </c>
      <c r="I449" t="s">
        <v>27</v>
      </c>
      <c r="J449" t="s">
        <v>913</v>
      </c>
      <c r="K449">
        <v>2023</v>
      </c>
      <c r="L449">
        <v>1</v>
      </c>
      <c r="M449">
        <v>19</v>
      </c>
      <c r="N449" t="s">
        <v>39</v>
      </c>
      <c r="O449">
        <v>4</v>
      </c>
      <c r="P449">
        <v>4</v>
      </c>
      <c r="Q449" t="s">
        <v>31</v>
      </c>
      <c r="R449">
        <v>6</v>
      </c>
      <c r="S449">
        <v>72</v>
      </c>
      <c r="T449">
        <v>58489</v>
      </c>
      <c r="U449">
        <v>1700</v>
      </c>
      <c r="V449">
        <v>13.6</v>
      </c>
      <c r="W449" t="s">
        <v>31</v>
      </c>
    </row>
    <row r="450" spans="1:23" x14ac:dyDescent="0.3">
      <c r="A450" t="s">
        <v>914</v>
      </c>
      <c r="B450" t="s">
        <v>2089</v>
      </c>
      <c r="C450">
        <v>32</v>
      </c>
      <c r="D450" t="s">
        <v>41</v>
      </c>
      <c r="E450" t="s">
        <v>34</v>
      </c>
      <c r="F450" t="s">
        <v>137</v>
      </c>
      <c r="G450" t="s">
        <v>52</v>
      </c>
      <c r="H450" t="s">
        <v>208</v>
      </c>
      <c r="I450" t="s">
        <v>27</v>
      </c>
      <c r="J450" t="s">
        <v>375</v>
      </c>
      <c r="K450">
        <v>2021</v>
      </c>
      <c r="L450">
        <v>3</v>
      </c>
      <c r="M450">
        <v>2</v>
      </c>
      <c r="N450" t="s">
        <v>29</v>
      </c>
      <c r="O450">
        <v>3</v>
      </c>
      <c r="P450">
        <v>4</v>
      </c>
      <c r="Q450" t="s">
        <v>31</v>
      </c>
      <c r="R450">
        <v>5</v>
      </c>
      <c r="S450">
        <v>45</v>
      </c>
      <c r="T450">
        <v>71857</v>
      </c>
      <c r="U450">
        <v>9700</v>
      </c>
      <c r="V450">
        <v>10.7</v>
      </c>
      <c r="W450" t="s">
        <v>31</v>
      </c>
    </row>
    <row r="451" spans="1:23" x14ac:dyDescent="0.3">
      <c r="A451" t="s">
        <v>915</v>
      </c>
      <c r="B451" t="s">
        <v>2090</v>
      </c>
      <c r="C451">
        <v>34</v>
      </c>
      <c r="D451" t="s">
        <v>41</v>
      </c>
      <c r="E451" t="s">
        <v>34</v>
      </c>
      <c r="F451" t="s">
        <v>57</v>
      </c>
      <c r="G451" t="s">
        <v>82</v>
      </c>
      <c r="H451" t="s">
        <v>83</v>
      </c>
      <c r="I451" t="s">
        <v>27</v>
      </c>
      <c r="J451" t="s">
        <v>916</v>
      </c>
      <c r="K451">
        <v>2023</v>
      </c>
      <c r="L451">
        <v>1</v>
      </c>
      <c r="M451">
        <v>11</v>
      </c>
      <c r="N451" t="s">
        <v>98</v>
      </c>
      <c r="O451">
        <v>5</v>
      </c>
      <c r="P451">
        <v>2</v>
      </c>
      <c r="Q451" t="s">
        <v>30</v>
      </c>
      <c r="R451">
        <v>16</v>
      </c>
      <c r="S451">
        <v>27</v>
      </c>
      <c r="T451">
        <v>45714</v>
      </c>
      <c r="U451">
        <v>2800</v>
      </c>
      <c r="V451">
        <v>9.8000000000000007</v>
      </c>
      <c r="W451" t="s">
        <v>31</v>
      </c>
    </row>
    <row r="452" spans="1:23" x14ac:dyDescent="0.3">
      <c r="A452" t="s">
        <v>917</v>
      </c>
      <c r="B452" t="s">
        <v>1849</v>
      </c>
      <c r="C452">
        <v>42</v>
      </c>
      <c r="D452" t="s">
        <v>33</v>
      </c>
      <c r="E452" t="s">
        <v>34</v>
      </c>
      <c r="F452" t="s">
        <v>57</v>
      </c>
      <c r="G452" t="s">
        <v>63</v>
      </c>
      <c r="H452" t="s">
        <v>310</v>
      </c>
      <c r="I452" t="s">
        <v>27</v>
      </c>
      <c r="J452" t="s">
        <v>918</v>
      </c>
      <c r="K452">
        <v>2021</v>
      </c>
      <c r="L452">
        <v>3</v>
      </c>
      <c r="M452">
        <v>14</v>
      </c>
      <c r="N452" t="s">
        <v>85</v>
      </c>
      <c r="O452">
        <v>2</v>
      </c>
      <c r="P452">
        <v>5</v>
      </c>
      <c r="Q452" t="s">
        <v>30</v>
      </c>
      <c r="R452">
        <v>10</v>
      </c>
      <c r="S452">
        <v>75</v>
      </c>
      <c r="T452">
        <v>45489</v>
      </c>
      <c r="U452">
        <v>7500</v>
      </c>
      <c r="V452">
        <v>8.9</v>
      </c>
      <c r="W452" t="s">
        <v>30</v>
      </c>
    </row>
    <row r="453" spans="1:23" x14ac:dyDescent="0.3">
      <c r="A453" t="s">
        <v>919</v>
      </c>
      <c r="B453" t="s">
        <v>2091</v>
      </c>
      <c r="C453">
        <v>41</v>
      </c>
      <c r="D453" t="s">
        <v>41</v>
      </c>
      <c r="E453" t="s">
        <v>56</v>
      </c>
      <c r="F453" t="s">
        <v>24</v>
      </c>
      <c r="G453" t="s">
        <v>52</v>
      </c>
      <c r="H453" t="s">
        <v>320</v>
      </c>
      <c r="I453" t="s">
        <v>27</v>
      </c>
      <c r="J453" t="s">
        <v>920</v>
      </c>
      <c r="K453">
        <v>2021</v>
      </c>
      <c r="L453">
        <v>3</v>
      </c>
      <c r="M453">
        <v>19</v>
      </c>
      <c r="N453" t="s">
        <v>85</v>
      </c>
      <c r="O453">
        <v>1</v>
      </c>
      <c r="P453">
        <v>4</v>
      </c>
      <c r="Q453" t="s">
        <v>31</v>
      </c>
      <c r="R453">
        <v>3</v>
      </c>
      <c r="S453">
        <v>53</v>
      </c>
      <c r="T453">
        <v>63636</v>
      </c>
      <c r="U453">
        <v>15100</v>
      </c>
      <c r="V453">
        <v>3.4</v>
      </c>
      <c r="W453" t="s">
        <v>31</v>
      </c>
    </row>
    <row r="454" spans="1:23" x14ac:dyDescent="0.3">
      <c r="A454" t="s">
        <v>921</v>
      </c>
      <c r="B454" t="s">
        <v>1832</v>
      </c>
      <c r="C454">
        <v>40</v>
      </c>
      <c r="D454" t="s">
        <v>41</v>
      </c>
      <c r="E454" t="s">
        <v>71</v>
      </c>
      <c r="F454" t="s">
        <v>24</v>
      </c>
      <c r="G454" t="s">
        <v>82</v>
      </c>
      <c r="H454" t="s">
        <v>138</v>
      </c>
      <c r="I454" t="s">
        <v>65</v>
      </c>
      <c r="J454" t="s">
        <v>922</v>
      </c>
      <c r="K454">
        <v>2024</v>
      </c>
      <c r="L454">
        <v>0</v>
      </c>
      <c r="M454">
        <v>11</v>
      </c>
      <c r="N454" t="s">
        <v>29</v>
      </c>
      <c r="O454">
        <v>1</v>
      </c>
      <c r="P454">
        <v>1</v>
      </c>
      <c r="Q454" t="s">
        <v>31</v>
      </c>
      <c r="R454">
        <v>7</v>
      </c>
      <c r="S454">
        <v>6</v>
      </c>
      <c r="T454">
        <v>70777</v>
      </c>
      <c r="U454">
        <v>10100</v>
      </c>
      <c r="V454">
        <v>8.9</v>
      </c>
      <c r="W454" t="s">
        <v>31</v>
      </c>
    </row>
    <row r="455" spans="1:23" x14ac:dyDescent="0.3">
      <c r="A455" t="s">
        <v>923</v>
      </c>
      <c r="B455" t="s">
        <v>2040</v>
      </c>
      <c r="C455">
        <v>28</v>
      </c>
      <c r="D455" t="s">
        <v>41</v>
      </c>
      <c r="E455" t="s">
        <v>71</v>
      </c>
      <c r="F455" t="s">
        <v>137</v>
      </c>
      <c r="G455" t="s">
        <v>43</v>
      </c>
      <c r="H455" t="s">
        <v>72</v>
      </c>
      <c r="I455" t="s">
        <v>27</v>
      </c>
      <c r="J455" t="s">
        <v>924</v>
      </c>
      <c r="K455">
        <v>2024</v>
      </c>
      <c r="L455">
        <v>0</v>
      </c>
      <c r="M455">
        <v>3</v>
      </c>
      <c r="N455" t="s">
        <v>98</v>
      </c>
      <c r="O455">
        <v>3</v>
      </c>
      <c r="P455">
        <v>1</v>
      </c>
      <c r="Q455" t="s">
        <v>30</v>
      </c>
      <c r="R455">
        <v>8</v>
      </c>
      <c r="S455">
        <v>42</v>
      </c>
      <c r="T455">
        <v>118349</v>
      </c>
      <c r="U455">
        <v>8400</v>
      </c>
      <c r="V455">
        <v>3.1</v>
      </c>
      <c r="W455" t="s">
        <v>31</v>
      </c>
    </row>
    <row r="456" spans="1:23" x14ac:dyDescent="0.3">
      <c r="A456" t="s">
        <v>925</v>
      </c>
      <c r="B456" t="s">
        <v>1930</v>
      </c>
      <c r="C456">
        <v>28</v>
      </c>
      <c r="D456" t="s">
        <v>41</v>
      </c>
      <c r="E456" t="s">
        <v>34</v>
      </c>
      <c r="F456" t="s">
        <v>57</v>
      </c>
      <c r="G456" t="s">
        <v>43</v>
      </c>
      <c r="H456" t="s">
        <v>48</v>
      </c>
      <c r="I456" t="s">
        <v>27</v>
      </c>
      <c r="J456" t="s">
        <v>926</v>
      </c>
      <c r="K456">
        <v>2022</v>
      </c>
      <c r="L456">
        <v>2</v>
      </c>
      <c r="M456">
        <v>4</v>
      </c>
      <c r="N456" t="s">
        <v>98</v>
      </c>
      <c r="O456">
        <v>2</v>
      </c>
      <c r="P456">
        <v>5</v>
      </c>
      <c r="Q456" t="s">
        <v>31</v>
      </c>
      <c r="R456">
        <v>15</v>
      </c>
      <c r="S456">
        <v>62</v>
      </c>
      <c r="T456">
        <v>89398</v>
      </c>
      <c r="U456">
        <v>7200</v>
      </c>
      <c r="V456">
        <v>14.6</v>
      </c>
      <c r="W456" t="s">
        <v>31</v>
      </c>
    </row>
    <row r="457" spans="1:23" x14ac:dyDescent="0.3">
      <c r="A457" t="s">
        <v>927</v>
      </c>
      <c r="B457" t="s">
        <v>2007</v>
      </c>
      <c r="C457">
        <v>33</v>
      </c>
      <c r="D457" t="s">
        <v>41</v>
      </c>
      <c r="E457" t="s">
        <v>34</v>
      </c>
      <c r="F457" t="s">
        <v>51</v>
      </c>
      <c r="G457" t="s">
        <v>25</v>
      </c>
      <c r="H457" t="s">
        <v>58</v>
      </c>
      <c r="I457" t="s">
        <v>27</v>
      </c>
      <c r="J457" t="s">
        <v>928</v>
      </c>
      <c r="K457">
        <v>2022</v>
      </c>
      <c r="L457">
        <v>2</v>
      </c>
      <c r="M457">
        <v>10</v>
      </c>
      <c r="N457" t="s">
        <v>98</v>
      </c>
      <c r="O457">
        <v>1</v>
      </c>
      <c r="P457">
        <v>2</v>
      </c>
      <c r="Q457" t="s">
        <v>30</v>
      </c>
      <c r="R457">
        <v>14</v>
      </c>
      <c r="S457">
        <v>49</v>
      </c>
      <c r="T457">
        <v>109758</v>
      </c>
      <c r="U457">
        <v>8200</v>
      </c>
      <c r="V457">
        <v>11.8</v>
      </c>
      <c r="W457" t="s">
        <v>31</v>
      </c>
    </row>
    <row r="458" spans="1:23" x14ac:dyDescent="0.3">
      <c r="A458" t="s">
        <v>929</v>
      </c>
      <c r="B458" t="s">
        <v>2092</v>
      </c>
      <c r="C458">
        <v>39</v>
      </c>
      <c r="D458" t="s">
        <v>41</v>
      </c>
      <c r="E458" t="s">
        <v>61</v>
      </c>
      <c r="F458" t="s">
        <v>153</v>
      </c>
      <c r="G458" t="s">
        <v>52</v>
      </c>
      <c r="H458" t="s">
        <v>53</v>
      </c>
      <c r="I458" t="s">
        <v>27</v>
      </c>
      <c r="J458" t="s">
        <v>160</v>
      </c>
      <c r="K458">
        <v>2023</v>
      </c>
      <c r="L458">
        <v>1</v>
      </c>
      <c r="M458">
        <v>15</v>
      </c>
      <c r="N458" t="s">
        <v>39</v>
      </c>
      <c r="O458">
        <v>3</v>
      </c>
      <c r="P458">
        <v>4</v>
      </c>
      <c r="Q458" t="s">
        <v>31</v>
      </c>
      <c r="R458">
        <v>5</v>
      </c>
      <c r="S458">
        <v>39</v>
      </c>
      <c r="T458">
        <v>51924</v>
      </c>
      <c r="U458">
        <v>1400</v>
      </c>
      <c r="V458">
        <v>7.4</v>
      </c>
      <c r="W458" t="s">
        <v>31</v>
      </c>
    </row>
    <row r="459" spans="1:23" x14ac:dyDescent="0.3">
      <c r="A459" t="s">
        <v>930</v>
      </c>
      <c r="B459" t="s">
        <v>1808</v>
      </c>
      <c r="C459">
        <v>39</v>
      </c>
      <c r="D459" t="s">
        <v>41</v>
      </c>
      <c r="E459" t="s">
        <v>34</v>
      </c>
      <c r="F459" t="s">
        <v>153</v>
      </c>
      <c r="G459" t="s">
        <v>82</v>
      </c>
      <c r="H459" t="s">
        <v>286</v>
      </c>
      <c r="I459" t="s">
        <v>27</v>
      </c>
      <c r="J459" t="s">
        <v>931</v>
      </c>
      <c r="K459">
        <v>2021</v>
      </c>
      <c r="L459">
        <v>3</v>
      </c>
      <c r="M459">
        <v>15</v>
      </c>
      <c r="N459" t="s">
        <v>98</v>
      </c>
      <c r="O459">
        <v>4</v>
      </c>
      <c r="P459">
        <v>5</v>
      </c>
      <c r="Q459" t="s">
        <v>30</v>
      </c>
      <c r="R459">
        <v>13</v>
      </c>
      <c r="S459">
        <v>65</v>
      </c>
      <c r="T459">
        <v>76210</v>
      </c>
      <c r="U459">
        <v>5200</v>
      </c>
      <c r="V459">
        <v>6.2</v>
      </c>
      <c r="W459" t="s">
        <v>31</v>
      </c>
    </row>
    <row r="460" spans="1:23" x14ac:dyDescent="0.3">
      <c r="A460" t="s">
        <v>932</v>
      </c>
      <c r="B460" t="s">
        <v>2093</v>
      </c>
      <c r="C460">
        <v>41</v>
      </c>
      <c r="D460" t="s">
        <v>41</v>
      </c>
      <c r="E460" t="s">
        <v>34</v>
      </c>
      <c r="F460" t="s">
        <v>137</v>
      </c>
      <c r="G460" t="s">
        <v>100</v>
      </c>
      <c r="H460" t="s">
        <v>101</v>
      </c>
      <c r="I460" t="s">
        <v>27</v>
      </c>
      <c r="J460" t="s">
        <v>933</v>
      </c>
      <c r="K460">
        <v>2021</v>
      </c>
      <c r="L460">
        <v>3</v>
      </c>
      <c r="M460">
        <v>13</v>
      </c>
      <c r="N460" t="s">
        <v>29</v>
      </c>
      <c r="O460">
        <v>1</v>
      </c>
      <c r="P460">
        <v>2</v>
      </c>
      <c r="Q460" t="s">
        <v>31</v>
      </c>
      <c r="R460">
        <v>3</v>
      </c>
      <c r="S460">
        <v>6</v>
      </c>
      <c r="T460">
        <v>52415</v>
      </c>
      <c r="U460">
        <v>6500</v>
      </c>
      <c r="V460">
        <v>9.4</v>
      </c>
      <c r="W460" t="s">
        <v>31</v>
      </c>
    </row>
    <row r="461" spans="1:23" x14ac:dyDescent="0.3">
      <c r="A461" t="s">
        <v>934</v>
      </c>
      <c r="B461" t="s">
        <v>2015</v>
      </c>
      <c r="C461">
        <v>48</v>
      </c>
      <c r="D461" t="s">
        <v>33</v>
      </c>
      <c r="E461" t="s">
        <v>34</v>
      </c>
      <c r="F461" t="s">
        <v>75</v>
      </c>
      <c r="G461" t="s">
        <v>43</v>
      </c>
      <c r="H461" t="s">
        <v>72</v>
      </c>
      <c r="I461" t="s">
        <v>27</v>
      </c>
      <c r="J461" t="s">
        <v>777</v>
      </c>
      <c r="K461">
        <v>2021</v>
      </c>
      <c r="L461">
        <v>3</v>
      </c>
      <c r="M461">
        <v>20</v>
      </c>
      <c r="N461" t="s">
        <v>29</v>
      </c>
      <c r="O461">
        <v>3</v>
      </c>
      <c r="P461">
        <v>5</v>
      </c>
      <c r="Q461" t="s">
        <v>30</v>
      </c>
      <c r="R461">
        <v>9</v>
      </c>
      <c r="S461">
        <v>0</v>
      </c>
      <c r="T461">
        <v>83278</v>
      </c>
      <c r="U461">
        <v>11300</v>
      </c>
      <c r="V461">
        <v>11.3</v>
      </c>
      <c r="W461" t="s">
        <v>31</v>
      </c>
    </row>
    <row r="462" spans="1:23" x14ac:dyDescent="0.3">
      <c r="A462" t="s">
        <v>935</v>
      </c>
      <c r="B462" t="s">
        <v>2023</v>
      </c>
      <c r="C462">
        <v>32</v>
      </c>
      <c r="D462" t="s">
        <v>41</v>
      </c>
      <c r="E462" t="s">
        <v>34</v>
      </c>
      <c r="F462" t="s">
        <v>153</v>
      </c>
      <c r="G462" t="s">
        <v>36</v>
      </c>
      <c r="H462" t="s">
        <v>76</v>
      </c>
      <c r="I462" t="s">
        <v>27</v>
      </c>
      <c r="J462" t="s">
        <v>936</v>
      </c>
      <c r="K462">
        <v>2024</v>
      </c>
      <c r="L462">
        <v>0</v>
      </c>
      <c r="M462">
        <v>8</v>
      </c>
      <c r="N462" t="s">
        <v>85</v>
      </c>
      <c r="O462">
        <v>2</v>
      </c>
      <c r="P462">
        <v>3</v>
      </c>
      <c r="Q462" t="s">
        <v>31</v>
      </c>
      <c r="R462">
        <v>2</v>
      </c>
      <c r="S462">
        <v>21</v>
      </c>
      <c r="T462">
        <v>49551</v>
      </c>
      <c r="U462">
        <v>9200</v>
      </c>
      <c r="V462">
        <v>8.5</v>
      </c>
      <c r="W462" t="s">
        <v>31</v>
      </c>
    </row>
    <row r="463" spans="1:23" x14ac:dyDescent="0.3">
      <c r="A463" t="s">
        <v>937</v>
      </c>
      <c r="B463" t="s">
        <v>2094</v>
      </c>
      <c r="C463">
        <v>37</v>
      </c>
      <c r="D463" t="s">
        <v>33</v>
      </c>
      <c r="E463" t="s">
        <v>34</v>
      </c>
      <c r="F463" t="s">
        <v>35</v>
      </c>
      <c r="G463" t="s">
        <v>43</v>
      </c>
      <c r="H463" t="s">
        <v>72</v>
      </c>
      <c r="I463" t="s">
        <v>27</v>
      </c>
      <c r="J463" t="s">
        <v>299</v>
      </c>
      <c r="K463">
        <v>2021</v>
      </c>
      <c r="L463">
        <v>3</v>
      </c>
      <c r="M463">
        <v>8</v>
      </c>
      <c r="N463" t="s">
        <v>29</v>
      </c>
      <c r="O463">
        <v>1</v>
      </c>
      <c r="P463">
        <v>3</v>
      </c>
      <c r="Q463" t="s">
        <v>30</v>
      </c>
      <c r="R463">
        <v>23</v>
      </c>
      <c r="S463">
        <v>42</v>
      </c>
      <c r="T463">
        <v>72279</v>
      </c>
      <c r="U463">
        <v>10400</v>
      </c>
      <c r="V463">
        <v>13</v>
      </c>
      <c r="W463" t="s">
        <v>31</v>
      </c>
    </row>
    <row r="464" spans="1:23" x14ac:dyDescent="0.3">
      <c r="A464" t="s">
        <v>938</v>
      </c>
      <c r="B464" t="s">
        <v>2048</v>
      </c>
      <c r="C464">
        <v>36</v>
      </c>
      <c r="D464" t="s">
        <v>41</v>
      </c>
      <c r="E464" t="s">
        <v>71</v>
      </c>
      <c r="F464" t="s">
        <v>62</v>
      </c>
      <c r="G464" t="s">
        <v>43</v>
      </c>
      <c r="H464" t="s">
        <v>48</v>
      </c>
      <c r="I464" t="s">
        <v>27</v>
      </c>
      <c r="J464" t="s">
        <v>939</v>
      </c>
      <c r="K464">
        <v>2023</v>
      </c>
      <c r="L464">
        <v>1</v>
      </c>
      <c r="M464">
        <v>9</v>
      </c>
      <c r="N464" t="s">
        <v>29</v>
      </c>
      <c r="O464">
        <v>3</v>
      </c>
      <c r="P464">
        <v>5</v>
      </c>
      <c r="Q464" t="s">
        <v>31</v>
      </c>
      <c r="R464">
        <v>23</v>
      </c>
      <c r="S464">
        <v>2</v>
      </c>
      <c r="T464">
        <v>116219</v>
      </c>
      <c r="U464">
        <v>13000</v>
      </c>
      <c r="V464">
        <v>9.1999999999999993</v>
      </c>
      <c r="W464" t="s">
        <v>31</v>
      </c>
    </row>
    <row r="465" spans="1:23" x14ac:dyDescent="0.3">
      <c r="A465" t="s">
        <v>940</v>
      </c>
      <c r="B465" t="s">
        <v>2022</v>
      </c>
      <c r="C465">
        <v>26</v>
      </c>
      <c r="D465" t="s">
        <v>22</v>
      </c>
      <c r="E465" t="s">
        <v>71</v>
      </c>
      <c r="F465" t="s">
        <v>47</v>
      </c>
      <c r="G465" t="s">
        <v>43</v>
      </c>
      <c r="H465" t="s">
        <v>44</v>
      </c>
      <c r="I465" t="s">
        <v>79</v>
      </c>
      <c r="J465" t="s">
        <v>941</v>
      </c>
      <c r="K465">
        <v>2022</v>
      </c>
      <c r="L465">
        <v>2</v>
      </c>
      <c r="M465">
        <v>1</v>
      </c>
      <c r="N465" t="s">
        <v>29</v>
      </c>
      <c r="O465">
        <v>5</v>
      </c>
      <c r="P465">
        <v>4</v>
      </c>
      <c r="Q465" t="s">
        <v>31</v>
      </c>
      <c r="R465">
        <v>16</v>
      </c>
      <c r="S465">
        <v>22</v>
      </c>
      <c r="T465">
        <v>126455</v>
      </c>
      <c r="U465">
        <v>16700</v>
      </c>
      <c r="V465">
        <v>5.3</v>
      </c>
      <c r="W465" t="s">
        <v>31</v>
      </c>
    </row>
    <row r="466" spans="1:23" x14ac:dyDescent="0.3">
      <c r="A466" t="s">
        <v>942</v>
      </c>
      <c r="B466" t="s">
        <v>2063</v>
      </c>
      <c r="C466">
        <v>40</v>
      </c>
      <c r="D466" t="s">
        <v>33</v>
      </c>
      <c r="E466" t="s">
        <v>34</v>
      </c>
      <c r="F466" t="s">
        <v>62</v>
      </c>
      <c r="G466" t="s">
        <v>82</v>
      </c>
      <c r="H466" t="s">
        <v>138</v>
      </c>
      <c r="I466" t="s">
        <v>65</v>
      </c>
      <c r="J466" t="s">
        <v>943</v>
      </c>
      <c r="K466">
        <v>2023</v>
      </c>
      <c r="L466">
        <v>1</v>
      </c>
      <c r="M466">
        <v>14</v>
      </c>
      <c r="N466" t="s">
        <v>29</v>
      </c>
      <c r="O466">
        <v>3</v>
      </c>
      <c r="P466">
        <v>3</v>
      </c>
      <c r="Q466" t="s">
        <v>31</v>
      </c>
      <c r="R466">
        <v>3</v>
      </c>
      <c r="S466">
        <v>1</v>
      </c>
      <c r="T466">
        <v>47693</v>
      </c>
      <c r="U466">
        <v>6200</v>
      </c>
      <c r="V466">
        <v>13</v>
      </c>
      <c r="W466" t="s">
        <v>31</v>
      </c>
    </row>
    <row r="467" spans="1:23" x14ac:dyDescent="0.3">
      <c r="A467" t="s">
        <v>944</v>
      </c>
      <c r="B467" t="s">
        <v>2095</v>
      </c>
      <c r="C467">
        <v>50</v>
      </c>
      <c r="D467" t="s">
        <v>33</v>
      </c>
      <c r="E467" t="s">
        <v>71</v>
      </c>
      <c r="F467" t="s">
        <v>62</v>
      </c>
      <c r="G467" t="s">
        <v>36</v>
      </c>
      <c r="H467" t="s">
        <v>89</v>
      </c>
      <c r="I467" t="s">
        <v>27</v>
      </c>
      <c r="J467" t="s">
        <v>945</v>
      </c>
      <c r="K467">
        <v>2022</v>
      </c>
      <c r="L467">
        <v>2</v>
      </c>
      <c r="M467">
        <v>20</v>
      </c>
      <c r="N467" t="s">
        <v>29</v>
      </c>
      <c r="O467">
        <v>4</v>
      </c>
      <c r="P467">
        <v>3</v>
      </c>
      <c r="Q467" t="s">
        <v>30</v>
      </c>
      <c r="R467">
        <v>0</v>
      </c>
      <c r="S467">
        <v>55</v>
      </c>
      <c r="T467">
        <v>64899</v>
      </c>
      <c r="U467">
        <v>6400</v>
      </c>
      <c r="V467">
        <v>6.5</v>
      </c>
      <c r="W467" t="s">
        <v>31</v>
      </c>
    </row>
    <row r="468" spans="1:23" x14ac:dyDescent="0.3">
      <c r="A468" t="s">
        <v>946</v>
      </c>
      <c r="B468" t="s">
        <v>2096</v>
      </c>
      <c r="C468">
        <v>40</v>
      </c>
      <c r="D468" t="s">
        <v>33</v>
      </c>
      <c r="E468" t="s">
        <v>71</v>
      </c>
      <c r="F468" t="s">
        <v>47</v>
      </c>
      <c r="G468" t="s">
        <v>43</v>
      </c>
      <c r="H468" t="s">
        <v>96</v>
      </c>
      <c r="I468" t="s">
        <v>27</v>
      </c>
      <c r="J468" t="s">
        <v>947</v>
      </c>
      <c r="K468">
        <v>2023</v>
      </c>
      <c r="L468">
        <v>1</v>
      </c>
      <c r="M468">
        <v>10</v>
      </c>
      <c r="N468" t="s">
        <v>39</v>
      </c>
      <c r="O468">
        <v>4</v>
      </c>
      <c r="P468">
        <v>3</v>
      </c>
      <c r="Q468" t="s">
        <v>31</v>
      </c>
      <c r="R468">
        <v>7</v>
      </c>
      <c r="S468">
        <v>49</v>
      </c>
      <c r="T468">
        <v>90321</v>
      </c>
      <c r="U468">
        <v>2900</v>
      </c>
      <c r="V468">
        <v>4.7</v>
      </c>
      <c r="W468" t="s">
        <v>31</v>
      </c>
    </row>
    <row r="469" spans="1:23" x14ac:dyDescent="0.3">
      <c r="A469" t="s">
        <v>948</v>
      </c>
      <c r="B469" t="s">
        <v>1808</v>
      </c>
      <c r="C469">
        <v>34</v>
      </c>
      <c r="D469" t="s">
        <v>41</v>
      </c>
      <c r="E469" t="s">
        <v>71</v>
      </c>
      <c r="F469" t="s">
        <v>153</v>
      </c>
      <c r="G469" t="s">
        <v>25</v>
      </c>
      <c r="H469" t="s">
        <v>110</v>
      </c>
      <c r="I469" t="s">
        <v>27</v>
      </c>
      <c r="J469" t="s">
        <v>949</v>
      </c>
      <c r="K469">
        <v>2023</v>
      </c>
      <c r="L469">
        <v>1</v>
      </c>
      <c r="M469">
        <v>10</v>
      </c>
      <c r="N469" t="s">
        <v>98</v>
      </c>
      <c r="O469">
        <v>3</v>
      </c>
      <c r="P469">
        <v>3</v>
      </c>
      <c r="Q469" t="s">
        <v>30</v>
      </c>
      <c r="R469">
        <v>2</v>
      </c>
      <c r="S469">
        <v>38</v>
      </c>
      <c r="T469">
        <v>99493</v>
      </c>
      <c r="U469">
        <v>7800</v>
      </c>
      <c r="V469">
        <v>4.7</v>
      </c>
      <c r="W469" t="s">
        <v>31</v>
      </c>
    </row>
    <row r="470" spans="1:23" x14ac:dyDescent="0.3">
      <c r="A470" t="s">
        <v>950</v>
      </c>
      <c r="B470" t="s">
        <v>2047</v>
      </c>
      <c r="C470">
        <v>46</v>
      </c>
      <c r="D470" t="s">
        <v>33</v>
      </c>
      <c r="E470" t="s">
        <v>71</v>
      </c>
      <c r="F470" t="s">
        <v>137</v>
      </c>
      <c r="G470" t="s">
        <v>25</v>
      </c>
      <c r="H470" t="s">
        <v>110</v>
      </c>
      <c r="I470" t="s">
        <v>65</v>
      </c>
      <c r="J470" t="s">
        <v>951</v>
      </c>
      <c r="K470">
        <v>2024</v>
      </c>
      <c r="L470">
        <v>0</v>
      </c>
      <c r="M470">
        <v>17</v>
      </c>
      <c r="N470" t="s">
        <v>39</v>
      </c>
      <c r="O470">
        <v>1</v>
      </c>
      <c r="P470">
        <v>4</v>
      </c>
      <c r="Q470" t="s">
        <v>31</v>
      </c>
      <c r="R470">
        <v>2</v>
      </c>
      <c r="S470">
        <v>17</v>
      </c>
      <c r="T470">
        <v>88018</v>
      </c>
      <c r="U470">
        <v>2900</v>
      </c>
      <c r="V470">
        <v>8.6</v>
      </c>
      <c r="W470" t="s">
        <v>31</v>
      </c>
    </row>
    <row r="471" spans="1:23" x14ac:dyDescent="0.3">
      <c r="A471" t="s">
        <v>952</v>
      </c>
      <c r="B471" t="s">
        <v>2097</v>
      </c>
      <c r="C471">
        <v>44</v>
      </c>
      <c r="D471" t="s">
        <v>33</v>
      </c>
      <c r="E471" t="s">
        <v>34</v>
      </c>
      <c r="F471" t="s">
        <v>137</v>
      </c>
      <c r="G471" t="s">
        <v>36</v>
      </c>
      <c r="H471" t="s">
        <v>68</v>
      </c>
      <c r="I471" t="s">
        <v>27</v>
      </c>
      <c r="J471" t="s">
        <v>953</v>
      </c>
      <c r="K471">
        <v>2023</v>
      </c>
      <c r="L471">
        <v>1</v>
      </c>
      <c r="M471">
        <v>18</v>
      </c>
      <c r="N471" t="s">
        <v>85</v>
      </c>
      <c r="O471">
        <v>3</v>
      </c>
      <c r="P471">
        <v>1</v>
      </c>
      <c r="Q471" t="s">
        <v>31</v>
      </c>
      <c r="R471">
        <v>10</v>
      </c>
      <c r="S471">
        <v>76</v>
      </c>
      <c r="T471">
        <v>70733</v>
      </c>
      <c r="U471">
        <v>15100</v>
      </c>
      <c r="V471">
        <v>8.6</v>
      </c>
      <c r="W471" t="s">
        <v>31</v>
      </c>
    </row>
    <row r="472" spans="1:23" x14ac:dyDescent="0.3">
      <c r="A472" t="s">
        <v>954</v>
      </c>
      <c r="B472" t="s">
        <v>1834</v>
      </c>
      <c r="C472">
        <v>49</v>
      </c>
      <c r="D472" t="s">
        <v>33</v>
      </c>
      <c r="E472" t="s">
        <v>71</v>
      </c>
      <c r="F472" t="s">
        <v>35</v>
      </c>
      <c r="G472" t="s">
        <v>43</v>
      </c>
      <c r="H472" t="s">
        <v>72</v>
      </c>
      <c r="I472" t="s">
        <v>27</v>
      </c>
      <c r="J472" t="s">
        <v>816</v>
      </c>
      <c r="K472">
        <v>2023</v>
      </c>
      <c r="L472">
        <v>1</v>
      </c>
      <c r="M472">
        <v>19</v>
      </c>
      <c r="N472" t="s">
        <v>98</v>
      </c>
      <c r="O472">
        <v>3</v>
      </c>
      <c r="P472">
        <v>1</v>
      </c>
      <c r="Q472" t="s">
        <v>30</v>
      </c>
      <c r="R472">
        <v>15</v>
      </c>
      <c r="S472">
        <v>79</v>
      </c>
      <c r="T472">
        <v>76949</v>
      </c>
      <c r="U472">
        <v>5400</v>
      </c>
      <c r="V472">
        <v>9.6999999999999993</v>
      </c>
      <c r="W472" t="s">
        <v>31</v>
      </c>
    </row>
    <row r="473" spans="1:23" x14ac:dyDescent="0.3">
      <c r="A473" t="s">
        <v>955</v>
      </c>
      <c r="B473" t="s">
        <v>1944</v>
      </c>
      <c r="C473">
        <v>33</v>
      </c>
      <c r="D473" t="s">
        <v>41</v>
      </c>
      <c r="E473" t="s">
        <v>34</v>
      </c>
      <c r="F473" t="s">
        <v>35</v>
      </c>
      <c r="G473" t="s">
        <v>82</v>
      </c>
      <c r="H473" t="s">
        <v>83</v>
      </c>
      <c r="I473" t="s">
        <v>79</v>
      </c>
      <c r="J473" t="s">
        <v>739</v>
      </c>
      <c r="K473">
        <v>2021</v>
      </c>
      <c r="L473">
        <v>3</v>
      </c>
      <c r="M473">
        <v>8</v>
      </c>
      <c r="N473" t="s">
        <v>98</v>
      </c>
      <c r="O473">
        <v>5</v>
      </c>
      <c r="P473">
        <v>3</v>
      </c>
      <c r="Q473" t="s">
        <v>31</v>
      </c>
      <c r="R473">
        <v>19</v>
      </c>
      <c r="S473">
        <v>56</v>
      </c>
      <c r="T473">
        <v>46615</v>
      </c>
      <c r="U473">
        <v>3200</v>
      </c>
      <c r="V473">
        <v>3.7</v>
      </c>
      <c r="W473" t="s">
        <v>31</v>
      </c>
    </row>
    <row r="474" spans="1:23" x14ac:dyDescent="0.3">
      <c r="A474" t="s">
        <v>956</v>
      </c>
      <c r="B474" t="s">
        <v>2054</v>
      </c>
      <c r="C474">
        <v>32</v>
      </c>
      <c r="D474" t="s">
        <v>41</v>
      </c>
      <c r="E474" t="s">
        <v>71</v>
      </c>
      <c r="F474" t="s">
        <v>47</v>
      </c>
      <c r="G474" t="s">
        <v>43</v>
      </c>
      <c r="H474" t="s">
        <v>72</v>
      </c>
      <c r="I474" t="s">
        <v>27</v>
      </c>
      <c r="J474" t="s">
        <v>768</v>
      </c>
      <c r="K474">
        <v>2022</v>
      </c>
      <c r="L474">
        <v>2</v>
      </c>
      <c r="M474">
        <v>8</v>
      </c>
      <c r="N474" t="s">
        <v>29</v>
      </c>
      <c r="O474">
        <v>1</v>
      </c>
      <c r="P474">
        <v>4</v>
      </c>
      <c r="Q474" t="s">
        <v>31</v>
      </c>
      <c r="R474">
        <v>13</v>
      </c>
      <c r="S474">
        <v>54</v>
      </c>
      <c r="T474">
        <v>96260</v>
      </c>
      <c r="U474">
        <v>10600</v>
      </c>
      <c r="V474">
        <v>11</v>
      </c>
      <c r="W474" t="s">
        <v>31</v>
      </c>
    </row>
    <row r="475" spans="1:23" x14ac:dyDescent="0.3">
      <c r="A475" t="s">
        <v>957</v>
      </c>
      <c r="B475" t="s">
        <v>2098</v>
      </c>
      <c r="C475">
        <v>32</v>
      </c>
      <c r="D475" t="s">
        <v>41</v>
      </c>
      <c r="E475" t="s">
        <v>71</v>
      </c>
      <c r="F475" t="s">
        <v>47</v>
      </c>
      <c r="G475" t="s">
        <v>43</v>
      </c>
      <c r="H475" t="s">
        <v>44</v>
      </c>
      <c r="I475" t="s">
        <v>27</v>
      </c>
      <c r="J475" t="s">
        <v>958</v>
      </c>
      <c r="K475">
        <v>2024</v>
      </c>
      <c r="L475">
        <v>0</v>
      </c>
      <c r="M475">
        <v>10</v>
      </c>
      <c r="N475" t="s">
        <v>85</v>
      </c>
      <c r="O475">
        <v>2</v>
      </c>
      <c r="P475">
        <v>3</v>
      </c>
      <c r="Q475" t="s">
        <v>31</v>
      </c>
      <c r="R475">
        <v>16</v>
      </c>
      <c r="S475">
        <v>64</v>
      </c>
      <c r="T475">
        <v>128258</v>
      </c>
      <c r="U475">
        <v>29800</v>
      </c>
      <c r="V475">
        <v>14.6</v>
      </c>
      <c r="W475" t="s">
        <v>31</v>
      </c>
    </row>
    <row r="476" spans="1:23" x14ac:dyDescent="0.3">
      <c r="A476" t="s">
        <v>959</v>
      </c>
      <c r="B476" t="s">
        <v>1941</v>
      </c>
      <c r="C476">
        <v>30</v>
      </c>
      <c r="D476" t="s">
        <v>41</v>
      </c>
      <c r="E476" t="s">
        <v>34</v>
      </c>
      <c r="F476" t="s">
        <v>153</v>
      </c>
      <c r="G476" t="s">
        <v>43</v>
      </c>
      <c r="H476" t="s">
        <v>44</v>
      </c>
      <c r="I476" t="s">
        <v>27</v>
      </c>
      <c r="J476" t="s">
        <v>960</v>
      </c>
      <c r="K476">
        <v>2024</v>
      </c>
      <c r="L476">
        <v>0</v>
      </c>
      <c r="M476">
        <v>6</v>
      </c>
      <c r="N476" t="s">
        <v>29</v>
      </c>
      <c r="O476">
        <v>4</v>
      </c>
      <c r="P476">
        <v>4</v>
      </c>
      <c r="Q476" t="s">
        <v>31</v>
      </c>
      <c r="R476">
        <v>15</v>
      </c>
      <c r="S476">
        <v>77</v>
      </c>
      <c r="T476">
        <v>114471</v>
      </c>
      <c r="U476">
        <v>15700</v>
      </c>
      <c r="V476">
        <v>4.7</v>
      </c>
      <c r="W476" t="s">
        <v>31</v>
      </c>
    </row>
    <row r="477" spans="1:23" x14ac:dyDescent="0.3">
      <c r="A477" t="s">
        <v>961</v>
      </c>
      <c r="B477" t="s">
        <v>1921</v>
      </c>
      <c r="C477">
        <v>38</v>
      </c>
      <c r="D477" t="s">
        <v>33</v>
      </c>
      <c r="E477" t="s">
        <v>71</v>
      </c>
      <c r="F477" t="s">
        <v>57</v>
      </c>
      <c r="G477" t="s">
        <v>63</v>
      </c>
      <c r="H477" t="s">
        <v>64</v>
      </c>
      <c r="I477" t="s">
        <v>27</v>
      </c>
      <c r="J477" t="s">
        <v>962</v>
      </c>
      <c r="K477">
        <v>2023</v>
      </c>
      <c r="L477">
        <v>1</v>
      </c>
      <c r="M477">
        <v>11</v>
      </c>
      <c r="N477" t="s">
        <v>29</v>
      </c>
      <c r="O477">
        <v>4</v>
      </c>
      <c r="P477">
        <v>3</v>
      </c>
      <c r="Q477" t="s">
        <v>30</v>
      </c>
      <c r="R477">
        <v>24</v>
      </c>
      <c r="S477">
        <v>29</v>
      </c>
      <c r="T477">
        <v>62193</v>
      </c>
      <c r="U477">
        <v>6100</v>
      </c>
      <c r="V477">
        <v>13.2</v>
      </c>
      <c r="W477" t="s">
        <v>31</v>
      </c>
    </row>
    <row r="478" spans="1:23" x14ac:dyDescent="0.3">
      <c r="A478" t="s">
        <v>963</v>
      </c>
      <c r="B478" t="s">
        <v>1847</v>
      </c>
      <c r="C478">
        <v>28</v>
      </c>
      <c r="D478" t="s">
        <v>41</v>
      </c>
      <c r="E478" t="s">
        <v>34</v>
      </c>
      <c r="F478" t="s">
        <v>57</v>
      </c>
      <c r="G478" t="s">
        <v>100</v>
      </c>
      <c r="H478" t="s">
        <v>145</v>
      </c>
      <c r="I478" t="s">
        <v>27</v>
      </c>
      <c r="J478" t="s">
        <v>964</v>
      </c>
      <c r="K478">
        <v>2024</v>
      </c>
      <c r="L478">
        <v>0</v>
      </c>
      <c r="M478">
        <v>2</v>
      </c>
      <c r="N478" t="s">
        <v>29</v>
      </c>
      <c r="O478">
        <v>4</v>
      </c>
      <c r="P478">
        <v>2</v>
      </c>
      <c r="Q478" t="s">
        <v>30</v>
      </c>
      <c r="R478">
        <v>20</v>
      </c>
      <c r="S478">
        <v>73</v>
      </c>
      <c r="T478">
        <v>44776</v>
      </c>
      <c r="U478">
        <v>5100</v>
      </c>
      <c r="V478">
        <v>10.6</v>
      </c>
      <c r="W478" t="s">
        <v>30</v>
      </c>
    </row>
    <row r="479" spans="1:23" x14ac:dyDescent="0.3">
      <c r="A479" t="s">
        <v>965</v>
      </c>
      <c r="B479" t="s">
        <v>2099</v>
      </c>
      <c r="C479">
        <v>34</v>
      </c>
      <c r="D479" t="s">
        <v>41</v>
      </c>
      <c r="E479" t="s">
        <v>61</v>
      </c>
      <c r="F479" t="s">
        <v>137</v>
      </c>
      <c r="G479" t="s">
        <v>25</v>
      </c>
      <c r="H479" t="s">
        <v>205</v>
      </c>
      <c r="I479" t="s">
        <v>79</v>
      </c>
      <c r="J479" t="s">
        <v>966</v>
      </c>
      <c r="K479">
        <v>2023</v>
      </c>
      <c r="L479">
        <v>1</v>
      </c>
      <c r="M479">
        <v>6</v>
      </c>
      <c r="N479" t="s">
        <v>98</v>
      </c>
      <c r="O479">
        <v>1</v>
      </c>
      <c r="P479">
        <v>3</v>
      </c>
      <c r="Q479" t="s">
        <v>30</v>
      </c>
      <c r="R479">
        <v>24</v>
      </c>
      <c r="S479">
        <v>52</v>
      </c>
      <c r="T479">
        <v>107997</v>
      </c>
      <c r="U479">
        <v>6300</v>
      </c>
      <c r="V479">
        <v>3.3</v>
      </c>
      <c r="W479" t="s">
        <v>31</v>
      </c>
    </row>
    <row r="480" spans="1:23" x14ac:dyDescent="0.3">
      <c r="A480" t="s">
        <v>967</v>
      </c>
      <c r="B480" t="s">
        <v>1813</v>
      </c>
      <c r="C480">
        <v>36</v>
      </c>
      <c r="D480" t="s">
        <v>41</v>
      </c>
      <c r="E480" t="s">
        <v>71</v>
      </c>
      <c r="F480" t="s">
        <v>153</v>
      </c>
      <c r="G480" t="s">
        <v>63</v>
      </c>
      <c r="H480" t="s">
        <v>310</v>
      </c>
      <c r="I480" t="s">
        <v>79</v>
      </c>
      <c r="J480" t="s">
        <v>968</v>
      </c>
      <c r="K480">
        <v>2024</v>
      </c>
      <c r="L480">
        <v>0</v>
      </c>
      <c r="M480">
        <v>7</v>
      </c>
      <c r="N480" t="s">
        <v>29</v>
      </c>
      <c r="O480">
        <v>5</v>
      </c>
      <c r="P480">
        <v>1</v>
      </c>
      <c r="Q480" t="s">
        <v>31</v>
      </c>
      <c r="R480">
        <v>4</v>
      </c>
      <c r="S480">
        <v>66</v>
      </c>
      <c r="T480">
        <v>46681</v>
      </c>
      <c r="U480">
        <v>5700</v>
      </c>
      <c r="V480">
        <v>4.7</v>
      </c>
      <c r="W480" t="s">
        <v>30</v>
      </c>
    </row>
    <row r="481" spans="1:23" x14ac:dyDescent="0.3">
      <c r="A481" t="s">
        <v>969</v>
      </c>
      <c r="B481" t="s">
        <v>2100</v>
      </c>
      <c r="C481">
        <v>33</v>
      </c>
      <c r="D481" t="s">
        <v>41</v>
      </c>
      <c r="E481" t="s">
        <v>34</v>
      </c>
      <c r="F481" t="s">
        <v>47</v>
      </c>
      <c r="G481" t="s">
        <v>52</v>
      </c>
      <c r="H481" t="s">
        <v>208</v>
      </c>
      <c r="I481" t="s">
        <v>27</v>
      </c>
      <c r="J481" t="s">
        <v>970</v>
      </c>
      <c r="K481">
        <v>2021</v>
      </c>
      <c r="L481">
        <v>3</v>
      </c>
      <c r="M481">
        <v>11</v>
      </c>
      <c r="N481" t="s">
        <v>39</v>
      </c>
      <c r="O481">
        <v>5</v>
      </c>
      <c r="P481">
        <v>2</v>
      </c>
      <c r="Q481" t="s">
        <v>31</v>
      </c>
      <c r="R481">
        <v>16</v>
      </c>
      <c r="S481">
        <v>78</v>
      </c>
      <c r="T481">
        <v>63998</v>
      </c>
      <c r="U481">
        <v>1700</v>
      </c>
      <c r="V481">
        <v>11.4</v>
      </c>
      <c r="W481" t="s">
        <v>30</v>
      </c>
    </row>
    <row r="482" spans="1:23" x14ac:dyDescent="0.3">
      <c r="A482" t="s">
        <v>971</v>
      </c>
      <c r="B482" t="s">
        <v>2024</v>
      </c>
      <c r="C482">
        <v>31</v>
      </c>
      <c r="D482" t="s">
        <v>41</v>
      </c>
      <c r="E482" t="s">
        <v>34</v>
      </c>
      <c r="F482" t="s">
        <v>24</v>
      </c>
      <c r="G482" t="s">
        <v>43</v>
      </c>
      <c r="H482" t="s">
        <v>96</v>
      </c>
      <c r="I482" t="s">
        <v>65</v>
      </c>
      <c r="J482" t="s">
        <v>972</v>
      </c>
      <c r="K482">
        <v>2021</v>
      </c>
      <c r="L482">
        <v>3</v>
      </c>
      <c r="M482">
        <v>9</v>
      </c>
      <c r="N482" t="s">
        <v>29</v>
      </c>
      <c r="O482">
        <v>1</v>
      </c>
      <c r="P482">
        <v>2</v>
      </c>
      <c r="Q482" t="s">
        <v>31</v>
      </c>
      <c r="R482">
        <v>15</v>
      </c>
      <c r="S482">
        <v>9</v>
      </c>
      <c r="T482">
        <v>125234</v>
      </c>
      <c r="U482">
        <v>14000</v>
      </c>
      <c r="V482">
        <v>12.2</v>
      </c>
      <c r="W482" t="s">
        <v>31</v>
      </c>
    </row>
    <row r="483" spans="1:23" x14ac:dyDescent="0.3">
      <c r="A483" t="s">
        <v>973</v>
      </c>
      <c r="B483" t="s">
        <v>1943</v>
      </c>
      <c r="C483">
        <v>31</v>
      </c>
      <c r="D483" t="s">
        <v>41</v>
      </c>
      <c r="E483" t="s">
        <v>71</v>
      </c>
      <c r="F483" t="s">
        <v>75</v>
      </c>
      <c r="G483" t="s">
        <v>36</v>
      </c>
      <c r="H483" t="s">
        <v>76</v>
      </c>
      <c r="I483" t="s">
        <v>27</v>
      </c>
      <c r="J483" t="s">
        <v>974</v>
      </c>
      <c r="K483">
        <v>2021</v>
      </c>
      <c r="L483">
        <v>3</v>
      </c>
      <c r="M483">
        <v>5</v>
      </c>
      <c r="N483" t="s">
        <v>85</v>
      </c>
      <c r="O483">
        <v>1</v>
      </c>
      <c r="P483">
        <v>1</v>
      </c>
      <c r="Q483" t="s">
        <v>31</v>
      </c>
      <c r="R483">
        <v>24</v>
      </c>
      <c r="S483">
        <v>25</v>
      </c>
      <c r="T483">
        <v>51819</v>
      </c>
      <c r="U483">
        <v>10400</v>
      </c>
      <c r="V483">
        <v>10.8</v>
      </c>
      <c r="W483" t="s">
        <v>31</v>
      </c>
    </row>
    <row r="484" spans="1:23" x14ac:dyDescent="0.3">
      <c r="A484" t="s">
        <v>975</v>
      </c>
      <c r="B484" t="s">
        <v>2101</v>
      </c>
      <c r="C484">
        <v>37</v>
      </c>
      <c r="D484" t="s">
        <v>33</v>
      </c>
      <c r="E484" t="s">
        <v>34</v>
      </c>
      <c r="F484" t="s">
        <v>24</v>
      </c>
      <c r="G484" t="s">
        <v>43</v>
      </c>
      <c r="H484" t="s">
        <v>48</v>
      </c>
      <c r="I484" t="s">
        <v>27</v>
      </c>
      <c r="J484" t="s">
        <v>976</v>
      </c>
      <c r="K484">
        <v>2024</v>
      </c>
      <c r="L484">
        <v>0</v>
      </c>
      <c r="M484">
        <v>13</v>
      </c>
      <c r="N484" t="s">
        <v>29</v>
      </c>
      <c r="O484">
        <v>4</v>
      </c>
      <c r="P484">
        <v>1</v>
      </c>
      <c r="Q484" t="s">
        <v>31</v>
      </c>
      <c r="R484">
        <v>7</v>
      </c>
      <c r="S484">
        <v>29</v>
      </c>
      <c r="T484">
        <v>125945</v>
      </c>
      <c r="U484">
        <v>12800</v>
      </c>
      <c r="V484">
        <v>4.4000000000000004</v>
      </c>
      <c r="W484" t="s">
        <v>31</v>
      </c>
    </row>
    <row r="485" spans="1:23" x14ac:dyDescent="0.3">
      <c r="A485" t="s">
        <v>977</v>
      </c>
      <c r="B485" t="s">
        <v>2102</v>
      </c>
      <c r="C485">
        <v>30</v>
      </c>
      <c r="D485" t="s">
        <v>33</v>
      </c>
      <c r="E485" t="s">
        <v>34</v>
      </c>
      <c r="F485" t="s">
        <v>47</v>
      </c>
      <c r="G485" t="s">
        <v>52</v>
      </c>
      <c r="H485" t="s">
        <v>132</v>
      </c>
      <c r="I485" t="s">
        <v>27</v>
      </c>
      <c r="J485" t="s">
        <v>226</v>
      </c>
      <c r="K485">
        <v>2021</v>
      </c>
      <c r="L485">
        <v>3</v>
      </c>
      <c r="M485">
        <v>8</v>
      </c>
      <c r="N485" t="s">
        <v>29</v>
      </c>
      <c r="O485">
        <v>4</v>
      </c>
      <c r="P485">
        <v>4</v>
      </c>
      <c r="Q485" t="s">
        <v>31</v>
      </c>
      <c r="R485">
        <v>21</v>
      </c>
      <c r="S485">
        <v>15</v>
      </c>
      <c r="T485">
        <v>53304</v>
      </c>
      <c r="U485">
        <v>5800</v>
      </c>
      <c r="V485">
        <v>6.8</v>
      </c>
      <c r="W485" t="s">
        <v>31</v>
      </c>
    </row>
    <row r="486" spans="1:23" x14ac:dyDescent="0.3">
      <c r="A486" t="s">
        <v>978</v>
      </c>
      <c r="B486" t="s">
        <v>1875</v>
      </c>
      <c r="C486">
        <v>37</v>
      </c>
      <c r="D486" t="s">
        <v>41</v>
      </c>
      <c r="E486" t="s">
        <v>34</v>
      </c>
      <c r="F486" t="s">
        <v>42</v>
      </c>
      <c r="G486" t="s">
        <v>63</v>
      </c>
      <c r="H486" t="s">
        <v>310</v>
      </c>
      <c r="I486" t="s">
        <v>27</v>
      </c>
      <c r="J486" t="s">
        <v>979</v>
      </c>
      <c r="K486">
        <v>2024</v>
      </c>
      <c r="L486">
        <v>0</v>
      </c>
      <c r="M486">
        <v>12</v>
      </c>
      <c r="N486" t="s">
        <v>39</v>
      </c>
      <c r="O486">
        <v>1</v>
      </c>
      <c r="P486">
        <v>3</v>
      </c>
      <c r="Q486" t="s">
        <v>30</v>
      </c>
      <c r="R486">
        <v>13</v>
      </c>
      <c r="S486">
        <v>79</v>
      </c>
      <c r="T486">
        <v>44919</v>
      </c>
      <c r="U486">
        <v>1500</v>
      </c>
      <c r="V486">
        <v>6.5</v>
      </c>
      <c r="W486" t="s">
        <v>31</v>
      </c>
    </row>
    <row r="487" spans="1:23" x14ac:dyDescent="0.3">
      <c r="A487" t="s">
        <v>980</v>
      </c>
      <c r="B487" t="s">
        <v>1882</v>
      </c>
      <c r="C487">
        <v>40</v>
      </c>
      <c r="D487" t="s">
        <v>41</v>
      </c>
      <c r="E487" t="s">
        <v>34</v>
      </c>
      <c r="F487" t="s">
        <v>51</v>
      </c>
      <c r="G487" t="s">
        <v>117</v>
      </c>
      <c r="H487" t="s">
        <v>118</v>
      </c>
      <c r="I487" t="s">
        <v>65</v>
      </c>
      <c r="J487" t="s">
        <v>611</v>
      </c>
      <c r="K487">
        <v>2022</v>
      </c>
      <c r="L487">
        <v>2</v>
      </c>
      <c r="M487">
        <v>10</v>
      </c>
      <c r="N487" t="s">
        <v>98</v>
      </c>
      <c r="O487">
        <v>1</v>
      </c>
      <c r="P487">
        <v>4</v>
      </c>
      <c r="Q487" t="s">
        <v>31</v>
      </c>
      <c r="R487">
        <v>1</v>
      </c>
      <c r="S487">
        <v>34</v>
      </c>
      <c r="T487">
        <v>79404</v>
      </c>
      <c r="U487">
        <v>6200</v>
      </c>
      <c r="V487">
        <v>3.4</v>
      </c>
      <c r="W487" t="s">
        <v>31</v>
      </c>
    </row>
    <row r="488" spans="1:23" x14ac:dyDescent="0.3">
      <c r="A488" t="s">
        <v>981</v>
      </c>
      <c r="B488" t="s">
        <v>2103</v>
      </c>
      <c r="C488">
        <v>48</v>
      </c>
      <c r="D488" t="s">
        <v>33</v>
      </c>
      <c r="E488" t="s">
        <v>71</v>
      </c>
      <c r="F488" t="s">
        <v>137</v>
      </c>
      <c r="G488" t="s">
        <v>43</v>
      </c>
      <c r="H488" t="s">
        <v>96</v>
      </c>
      <c r="I488" t="s">
        <v>27</v>
      </c>
      <c r="J488" t="s">
        <v>111</v>
      </c>
      <c r="K488">
        <v>2021</v>
      </c>
      <c r="L488">
        <v>3</v>
      </c>
      <c r="M488">
        <v>20</v>
      </c>
      <c r="N488" t="s">
        <v>29</v>
      </c>
      <c r="O488">
        <v>1</v>
      </c>
      <c r="P488">
        <v>5</v>
      </c>
      <c r="Q488" t="s">
        <v>31</v>
      </c>
      <c r="R488">
        <v>24</v>
      </c>
      <c r="S488">
        <v>44</v>
      </c>
      <c r="T488">
        <v>120146</v>
      </c>
      <c r="U488">
        <v>11800</v>
      </c>
      <c r="V488">
        <v>5.5</v>
      </c>
      <c r="W488" t="s">
        <v>31</v>
      </c>
    </row>
    <row r="489" spans="1:23" x14ac:dyDescent="0.3">
      <c r="A489" t="s">
        <v>982</v>
      </c>
      <c r="B489" t="s">
        <v>1887</v>
      </c>
      <c r="C489">
        <v>44</v>
      </c>
      <c r="D489" t="s">
        <v>33</v>
      </c>
      <c r="E489" t="s">
        <v>61</v>
      </c>
      <c r="F489" t="s">
        <v>137</v>
      </c>
      <c r="G489" t="s">
        <v>52</v>
      </c>
      <c r="H489" t="s">
        <v>132</v>
      </c>
      <c r="I489" t="s">
        <v>79</v>
      </c>
      <c r="J489" t="s">
        <v>983</v>
      </c>
      <c r="K489">
        <v>2023</v>
      </c>
      <c r="L489">
        <v>1</v>
      </c>
      <c r="M489">
        <v>19</v>
      </c>
      <c r="N489" t="s">
        <v>98</v>
      </c>
      <c r="O489">
        <v>5</v>
      </c>
      <c r="P489">
        <v>4</v>
      </c>
      <c r="Q489" t="s">
        <v>31</v>
      </c>
      <c r="R489">
        <v>23</v>
      </c>
      <c r="S489">
        <v>36</v>
      </c>
      <c r="T489">
        <v>67344</v>
      </c>
      <c r="U489">
        <v>4900</v>
      </c>
      <c r="V489">
        <v>13.4</v>
      </c>
      <c r="W489" t="s">
        <v>31</v>
      </c>
    </row>
    <row r="490" spans="1:23" x14ac:dyDescent="0.3">
      <c r="A490" t="s">
        <v>984</v>
      </c>
      <c r="B490" t="s">
        <v>1994</v>
      </c>
      <c r="C490">
        <v>40</v>
      </c>
      <c r="D490" t="s">
        <v>41</v>
      </c>
      <c r="E490" t="s">
        <v>34</v>
      </c>
      <c r="F490" t="s">
        <v>47</v>
      </c>
      <c r="G490" t="s">
        <v>82</v>
      </c>
      <c r="H490" t="s">
        <v>323</v>
      </c>
      <c r="I490" t="s">
        <v>27</v>
      </c>
      <c r="J490" t="s">
        <v>985</v>
      </c>
      <c r="K490">
        <v>2023</v>
      </c>
      <c r="L490">
        <v>1</v>
      </c>
      <c r="M490">
        <v>15</v>
      </c>
      <c r="N490" t="s">
        <v>29</v>
      </c>
      <c r="O490">
        <v>4</v>
      </c>
      <c r="P490">
        <v>1</v>
      </c>
      <c r="Q490" t="s">
        <v>31</v>
      </c>
      <c r="R490">
        <v>19</v>
      </c>
      <c r="S490">
        <v>35</v>
      </c>
      <c r="T490">
        <v>45995</v>
      </c>
      <c r="U490">
        <v>5900</v>
      </c>
      <c r="V490">
        <v>6.3</v>
      </c>
      <c r="W490" t="s">
        <v>31</v>
      </c>
    </row>
    <row r="491" spans="1:23" x14ac:dyDescent="0.3">
      <c r="A491" t="s">
        <v>986</v>
      </c>
      <c r="B491" t="s">
        <v>1811</v>
      </c>
      <c r="C491">
        <v>46</v>
      </c>
      <c r="D491" t="s">
        <v>41</v>
      </c>
      <c r="E491" t="s">
        <v>61</v>
      </c>
      <c r="F491" t="s">
        <v>42</v>
      </c>
      <c r="G491" t="s">
        <v>100</v>
      </c>
      <c r="H491" t="s">
        <v>101</v>
      </c>
      <c r="I491" t="s">
        <v>27</v>
      </c>
      <c r="J491" t="s">
        <v>607</v>
      </c>
      <c r="K491">
        <v>2021</v>
      </c>
      <c r="L491">
        <v>3</v>
      </c>
      <c r="M491">
        <v>19</v>
      </c>
      <c r="N491" t="s">
        <v>29</v>
      </c>
      <c r="O491">
        <v>1</v>
      </c>
      <c r="P491">
        <v>5</v>
      </c>
      <c r="Q491" t="s">
        <v>31</v>
      </c>
      <c r="R491">
        <v>2</v>
      </c>
      <c r="S491">
        <v>35</v>
      </c>
      <c r="T491">
        <v>51716</v>
      </c>
      <c r="U491">
        <v>5000</v>
      </c>
      <c r="V491">
        <v>3.1</v>
      </c>
      <c r="W491" t="s">
        <v>30</v>
      </c>
    </row>
    <row r="492" spans="1:23" x14ac:dyDescent="0.3">
      <c r="A492" t="s">
        <v>987</v>
      </c>
      <c r="B492" t="s">
        <v>2104</v>
      </c>
      <c r="C492">
        <v>40</v>
      </c>
      <c r="D492" t="s">
        <v>33</v>
      </c>
      <c r="E492" t="s">
        <v>34</v>
      </c>
      <c r="F492" t="s">
        <v>42</v>
      </c>
      <c r="G492" t="s">
        <v>43</v>
      </c>
      <c r="H492" t="s">
        <v>96</v>
      </c>
      <c r="I492" t="s">
        <v>79</v>
      </c>
      <c r="J492" t="s">
        <v>988</v>
      </c>
      <c r="K492">
        <v>2023</v>
      </c>
      <c r="L492">
        <v>1</v>
      </c>
      <c r="M492">
        <v>16</v>
      </c>
      <c r="N492" t="s">
        <v>85</v>
      </c>
      <c r="O492">
        <v>5</v>
      </c>
      <c r="P492">
        <v>3</v>
      </c>
      <c r="Q492" t="s">
        <v>30</v>
      </c>
      <c r="R492">
        <v>1</v>
      </c>
      <c r="S492">
        <v>70</v>
      </c>
      <c r="T492">
        <v>92871</v>
      </c>
      <c r="U492">
        <v>19500</v>
      </c>
      <c r="V492">
        <v>3.6</v>
      </c>
      <c r="W492" t="s">
        <v>31</v>
      </c>
    </row>
    <row r="493" spans="1:23" x14ac:dyDescent="0.3">
      <c r="A493" t="s">
        <v>989</v>
      </c>
      <c r="B493" t="s">
        <v>2105</v>
      </c>
      <c r="C493">
        <v>42</v>
      </c>
      <c r="D493" t="s">
        <v>41</v>
      </c>
      <c r="E493" t="s">
        <v>71</v>
      </c>
      <c r="F493" t="s">
        <v>24</v>
      </c>
      <c r="G493" t="s">
        <v>43</v>
      </c>
      <c r="H493" t="s">
        <v>44</v>
      </c>
      <c r="I493" t="s">
        <v>27</v>
      </c>
      <c r="J493" t="s">
        <v>990</v>
      </c>
      <c r="K493">
        <v>2023</v>
      </c>
      <c r="L493">
        <v>1</v>
      </c>
      <c r="M493">
        <v>12</v>
      </c>
      <c r="N493" t="s">
        <v>29</v>
      </c>
      <c r="O493">
        <v>4</v>
      </c>
      <c r="P493">
        <v>1</v>
      </c>
      <c r="Q493" t="s">
        <v>30</v>
      </c>
      <c r="R493">
        <v>20</v>
      </c>
      <c r="S493">
        <v>54</v>
      </c>
      <c r="T493">
        <v>100762</v>
      </c>
      <c r="U493">
        <v>10000</v>
      </c>
      <c r="V493">
        <v>8.3000000000000007</v>
      </c>
      <c r="W493" t="s">
        <v>31</v>
      </c>
    </row>
    <row r="494" spans="1:23" x14ac:dyDescent="0.3">
      <c r="A494" t="s">
        <v>991</v>
      </c>
      <c r="B494" t="s">
        <v>2002</v>
      </c>
      <c r="C494">
        <v>41</v>
      </c>
      <c r="D494" t="s">
        <v>41</v>
      </c>
      <c r="E494" t="s">
        <v>56</v>
      </c>
      <c r="F494" t="s">
        <v>137</v>
      </c>
      <c r="G494" t="s">
        <v>43</v>
      </c>
      <c r="H494" t="s">
        <v>96</v>
      </c>
      <c r="I494" t="s">
        <v>27</v>
      </c>
      <c r="J494" t="s">
        <v>992</v>
      </c>
      <c r="K494">
        <v>2023</v>
      </c>
      <c r="L494">
        <v>1</v>
      </c>
      <c r="M494">
        <v>12</v>
      </c>
      <c r="N494" t="s">
        <v>29</v>
      </c>
      <c r="O494">
        <v>2</v>
      </c>
      <c r="P494">
        <v>3</v>
      </c>
      <c r="Q494" t="s">
        <v>31</v>
      </c>
      <c r="R494">
        <v>16</v>
      </c>
      <c r="S494">
        <v>65</v>
      </c>
      <c r="T494">
        <v>108543</v>
      </c>
      <c r="U494">
        <v>11300</v>
      </c>
      <c r="V494">
        <v>3.5</v>
      </c>
      <c r="W494" t="s">
        <v>31</v>
      </c>
    </row>
    <row r="495" spans="1:23" x14ac:dyDescent="0.3">
      <c r="A495" t="s">
        <v>993</v>
      </c>
      <c r="B495" t="s">
        <v>1912</v>
      </c>
      <c r="C495">
        <v>33</v>
      </c>
      <c r="D495" t="s">
        <v>33</v>
      </c>
      <c r="E495" t="s">
        <v>61</v>
      </c>
      <c r="F495" t="s">
        <v>62</v>
      </c>
      <c r="G495" t="s">
        <v>36</v>
      </c>
      <c r="H495" t="s">
        <v>68</v>
      </c>
      <c r="I495" t="s">
        <v>27</v>
      </c>
      <c r="J495" t="s">
        <v>994</v>
      </c>
      <c r="K495">
        <v>2021</v>
      </c>
      <c r="L495">
        <v>3</v>
      </c>
      <c r="M495">
        <v>5</v>
      </c>
      <c r="N495" t="s">
        <v>85</v>
      </c>
      <c r="O495">
        <v>4</v>
      </c>
      <c r="P495">
        <v>5</v>
      </c>
      <c r="Q495" t="s">
        <v>31</v>
      </c>
      <c r="R495">
        <v>23</v>
      </c>
      <c r="S495">
        <v>15</v>
      </c>
      <c r="T495">
        <v>87546</v>
      </c>
      <c r="U495">
        <v>14500</v>
      </c>
      <c r="V495">
        <v>14.2</v>
      </c>
      <c r="W495" t="s">
        <v>31</v>
      </c>
    </row>
    <row r="496" spans="1:23" x14ac:dyDescent="0.3">
      <c r="A496" t="s">
        <v>995</v>
      </c>
      <c r="B496" t="s">
        <v>2068</v>
      </c>
      <c r="C496">
        <v>33</v>
      </c>
      <c r="D496" t="s">
        <v>33</v>
      </c>
      <c r="E496" t="s">
        <v>56</v>
      </c>
      <c r="F496" t="s">
        <v>57</v>
      </c>
      <c r="G496" t="s">
        <v>43</v>
      </c>
      <c r="H496" t="s">
        <v>72</v>
      </c>
      <c r="I496" t="s">
        <v>27</v>
      </c>
      <c r="J496" t="s">
        <v>115</v>
      </c>
      <c r="K496">
        <v>2024</v>
      </c>
      <c r="L496">
        <v>0</v>
      </c>
      <c r="M496">
        <v>7</v>
      </c>
      <c r="N496" t="s">
        <v>29</v>
      </c>
      <c r="O496">
        <v>4</v>
      </c>
      <c r="P496">
        <v>4</v>
      </c>
      <c r="Q496" t="s">
        <v>31</v>
      </c>
      <c r="R496">
        <v>11</v>
      </c>
      <c r="S496">
        <v>10</v>
      </c>
      <c r="T496">
        <v>113081</v>
      </c>
      <c r="U496">
        <v>15000</v>
      </c>
      <c r="V496">
        <v>7.3</v>
      </c>
      <c r="W496" t="s">
        <v>31</v>
      </c>
    </row>
    <row r="497" spans="1:23" x14ac:dyDescent="0.3">
      <c r="A497" t="s">
        <v>996</v>
      </c>
      <c r="B497" t="s">
        <v>1874</v>
      </c>
      <c r="C497">
        <v>45</v>
      </c>
      <c r="D497" t="s">
        <v>33</v>
      </c>
      <c r="E497" t="s">
        <v>34</v>
      </c>
      <c r="F497" t="s">
        <v>153</v>
      </c>
      <c r="G497" t="s">
        <v>25</v>
      </c>
      <c r="H497" t="s">
        <v>58</v>
      </c>
      <c r="I497" t="s">
        <v>27</v>
      </c>
      <c r="J497" t="s">
        <v>939</v>
      </c>
      <c r="K497">
        <v>2023</v>
      </c>
      <c r="L497">
        <v>1</v>
      </c>
      <c r="M497">
        <v>20</v>
      </c>
      <c r="N497" t="s">
        <v>29</v>
      </c>
      <c r="O497">
        <v>2</v>
      </c>
      <c r="P497">
        <v>5</v>
      </c>
      <c r="Q497" t="s">
        <v>30</v>
      </c>
      <c r="R497">
        <v>8</v>
      </c>
      <c r="S497">
        <v>36</v>
      </c>
      <c r="T497">
        <v>82449</v>
      </c>
      <c r="U497">
        <v>11200</v>
      </c>
      <c r="V497">
        <v>14.8</v>
      </c>
      <c r="W497" t="s">
        <v>31</v>
      </c>
    </row>
    <row r="498" spans="1:23" x14ac:dyDescent="0.3">
      <c r="A498" t="s">
        <v>997</v>
      </c>
      <c r="B498" t="s">
        <v>1943</v>
      </c>
      <c r="C498">
        <v>48</v>
      </c>
      <c r="D498" t="s">
        <v>41</v>
      </c>
      <c r="E498" t="s">
        <v>71</v>
      </c>
      <c r="F498" t="s">
        <v>42</v>
      </c>
      <c r="G498" t="s">
        <v>43</v>
      </c>
      <c r="H498" t="s">
        <v>96</v>
      </c>
      <c r="I498" t="s">
        <v>27</v>
      </c>
      <c r="J498" t="s">
        <v>133</v>
      </c>
      <c r="K498">
        <v>2024</v>
      </c>
      <c r="L498">
        <v>0</v>
      </c>
      <c r="M498">
        <v>19</v>
      </c>
      <c r="N498" t="s">
        <v>98</v>
      </c>
      <c r="O498">
        <v>4</v>
      </c>
      <c r="P498">
        <v>1</v>
      </c>
      <c r="Q498" t="s">
        <v>30</v>
      </c>
      <c r="R498">
        <v>4</v>
      </c>
      <c r="S498">
        <v>4</v>
      </c>
      <c r="T498">
        <v>95965</v>
      </c>
      <c r="U498">
        <v>7700</v>
      </c>
      <c r="V498">
        <v>3.2</v>
      </c>
      <c r="W498" t="s">
        <v>31</v>
      </c>
    </row>
    <row r="499" spans="1:23" x14ac:dyDescent="0.3">
      <c r="A499" t="s">
        <v>998</v>
      </c>
      <c r="B499" t="s">
        <v>2042</v>
      </c>
      <c r="C499">
        <v>45</v>
      </c>
      <c r="D499" t="s">
        <v>41</v>
      </c>
      <c r="E499" t="s">
        <v>56</v>
      </c>
      <c r="F499" t="s">
        <v>24</v>
      </c>
      <c r="G499" t="s">
        <v>36</v>
      </c>
      <c r="H499" t="s">
        <v>89</v>
      </c>
      <c r="I499" t="s">
        <v>27</v>
      </c>
      <c r="J499" t="s">
        <v>999</v>
      </c>
      <c r="K499">
        <v>2022</v>
      </c>
      <c r="L499">
        <v>2</v>
      </c>
      <c r="M499">
        <v>17</v>
      </c>
      <c r="N499" t="s">
        <v>85</v>
      </c>
      <c r="O499">
        <v>5</v>
      </c>
      <c r="P499">
        <v>1</v>
      </c>
      <c r="Q499" t="s">
        <v>31</v>
      </c>
      <c r="R499">
        <v>23</v>
      </c>
      <c r="S499">
        <v>5</v>
      </c>
      <c r="T499">
        <v>68223</v>
      </c>
      <c r="U499">
        <v>14700</v>
      </c>
      <c r="V499">
        <v>5.9</v>
      </c>
      <c r="W499" t="s">
        <v>31</v>
      </c>
    </row>
    <row r="500" spans="1:23" x14ac:dyDescent="0.3">
      <c r="A500" t="s">
        <v>1000</v>
      </c>
      <c r="B500" t="s">
        <v>2106</v>
      </c>
      <c r="C500">
        <v>40</v>
      </c>
      <c r="D500" t="s">
        <v>33</v>
      </c>
      <c r="E500" t="s">
        <v>61</v>
      </c>
      <c r="F500" t="s">
        <v>35</v>
      </c>
      <c r="G500" t="s">
        <v>82</v>
      </c>
      <c r="H500" t="s">
        <v>286</v>
      </c>
      <c r="I500" t="s">
        <v>79</v>
      </c>
      <c r="J500" t="s">
        <v>875</v>
      </c>
      <c r="K500">
        <v>2024</v>
      </c>
      <c r="L500">
        <v>0</v>
      </c>
      <c r="M500">
        <v>14</v>
      </c>
      <c r="N500" t="s">
        <v>98</v>
      </c>
      <c r="O500">
        <v>5</v>
      </c>
      <c r="P500">
        <v>5</v>
      </c>
      <c r="Q500" t="s">
        <v>31</v>
      </c>
      <c r="R500">
        <v>11</v>
      </c>
      <c r="S500">
        <v>58</v>
      </c>
      <c r="T500">
        <v>53821</v>
      </c>
      <c r="U500">
        <v>4100</v>
      </c>
      <c r="V500">
        <v>10.1</v>
      </c>
      <c r="W500" t="s">
        <v>31</v>
      </c>
    </row>
    <row r="501" spans="1:23" x14ac:dyDescent="0.3">
      <c r="A501" t="s">
        <v>1001</v>
      </c>
      <c r="B501" t="s">
        <v>2081</v>
      </c>
      <c r="C501">
        <v>39</v>
      </c>
      <c r="D501" t="s">
        <v>41</v>
      </c>
      <c r="E501" t="s">
        <v>34</v>
      </c>
      <c r="F501" t="s">
        <v>153</v>
      </c>
      <c r="G501" t="s">
        <v>36</v>
      </c>
      <c r="H501" t="s">
        <v>89</v>
      </c>
      <c r="I501" t="s">
        <v>27</v>
      </c>
      <c r="J501" t="s">
        <v>1002</v>
      </c>
      <c r="K501">
        <v>2023</v>
      </c>
      <c r="L501">
        <v>1</v>
      </c>
      <c r="M501">
        <v>10</v>
      </c>
      <c r="N501" t="s">
        <v>29</v>
      </c>
      <c r="O501">
        <v>2</v>
      </c>
      <c r="P501">
        <v>2</v>
      </c>
      <c r="Q501" t="s">
        <v>30</v>
      </c>
      <c r="R501">
        <v>1</v>
      </c>
      <c r="S501">
        <v>26</v>
      </c>
      <c r="T501">
        <v>81970</v>
      </c>
      <c r="U501">
        <v>9900</v>
      </c>
      <c r="V501">
        <v>9.1</v>
      </c>
      <c r="W501" t="s">
        <v>31</v>
      </c>
    </row>
    <row r="502" spans="1:23" x14ac:dyDescent="0.3">
      <c r="A502" t="s">
        <v>1003</v>
      </c>
      <c r="B502" t="s">
        <v>1864</v>
      </c>
      <c r="C502">
        <v>34</v>
      </c>
      <c r="D502" t="s">
        <v>41</v>
      </c>
      <c r="E502" t="s">
        <v>34</v>
      </c>
      <c r="F502" t="s">
        <v>62</v>
      </c>
      <c r="G502" t="s">
        <v>100</v>
      </c>
      <c r="H502" t="s">
        <v>129</v>
      </c>
      <c r="I502" t="s">
        <v>27</v>
      </c>
      <c r="J502" t="s">
        <v>1004</v>
      </c>
      <c r="K502">
        <v>2023</v>
      </c>
      <c r="L502">
        <v>1</v>
      </c>
      <c r="M502">
        <v>10</v>
      </c>
      <c r="N502" t="s">
        <v>29</v>
      </c>
      <c r="O502">
        <v>2</v>
      </c>
      <c r="P502">
        <v>3</v>
      </c>
      <c r="Q502" t="s">
        <v>30</v>
      </c>
      <c r="R502">
        <v>4</v>
      </c>
      <c r="S502">
        <v>12</v>
      </c>
      <c r="T502">
        <v>57946</v>
      </c>
      <c r="U502">
        <v>6200</v>
      </c>
      <c r="V502">
        <v>5</v>
      </c>
      <c r="W502" t="s">
        <v>31</v>
      </c>
    </row>
    <row r="503" spans="1:23" x14ac:dyDescent="0.3">
      <c r="A503" t="s">
        <v>1005</v>
      </c>
      <c r="B503" t="s">
        <v>1961</v>
      </c>
      <c r="C503">
        <v>32</v>
      </c>
      <c r="D503" t="s">
        <v>33</v>
      </c>
      <c r="E503" t="s">
        <v>71</v>
      </c>
      <c r="F503" t="s">
        <v>62</v>
      </c>
      <c r="G503" t="s">
        <v>36</v>
      </c>
      <c r="H503" t="s">
        <v>37</v>
      </c>
      <c r="I503" t="s">
        <v>27</v>
      </c>
      <c r="J503" t="s">
        <v>1006</v>
      </c>
      <c r="K503">
        <v>2022</v>
      </c>
      <c r="L503">
        <v>2</v>
      </c>
      <c r="M503">
        <v>2</v>
      </c>
      <c r="N503" t="s">
        <v>85</v>
      </c>
      <c r="O503">
        <v>4</v>
      </c>
      <c r="P503">
        <v>5</v>
      </c>
      <c r="Q503" t="s">
        <v>31</v>
      </c>
      <c r="R503">
        <v>4</v>
      </c>
      <c r="S503">
        <v>58</v>
      </c>
      <c r="T503">
        <v>57788</v>
      </c>
      <c r="U503">
        <v>13100</v>
      </c>
      <c r="V503">
        <v>3.3</v>
      </c>
      <c r="W503" t="s">
        <v>31</v>
      </c>
    </row>
    <row r="504" spans="1:23" x14ac:dyDescent="0.3">
      <c r="A504" t="s">
        <v>1007</v>
      </c>
      <c r="B504" t="s">
        <v>1835</v>
      </c>
      <c r="C504">
        <v>42</v>
      </c>
      <c r="D504" t="s">
        <v>33</v>
      </c>
      <c r="E504" t="s">
        <v>34</v>
      </c>
      <c r="F504" t="s">
        <v>75</v>
      </c>
      <c r="G504" t="s">
        <v>43</v>
      </c>
      <c r="H504" t="s">
        <v>96</v>
      </c>
      <c r="I504" t="s">
        <v>27</v>
      </c>
      <c r="J504" t="s">
        <v>1008</v>
      </c>
      <c r="K504">
        <v>2021</v>
      </c>
      <c r="L504">
        <v>3</v>
      </c>
      <c r="M504">
        <v>16</v>
      </c>
      <c r="N504" t="s">
        <v>39</v>
      </c>
      <c r="O504">
        <v>3</v>
      </c>
      <c r="P504">
        <v>2</v>
      </c>
      <c r="Q504" t="s">
        <v>30</v>
      </c>
      <c r="R504">
        <v>16</v>
      </c>
      <c r="S504">
        <v>42</v>
      </c>
      <c r="T504">
        <v>87933</v>
      </c>
      <c r="U504">
        <v>2900</v>
      </c>
      <c r="V504">
        <v>4.4000000000000004</v>
      </c>
      <c r="W504" t="s">
        <v>30</v>
      </c>
    </row>
    <row r="505" spans="1:23" x14ac:dyDescent="0.3">
      <c r="A505" t="s">
        <v>1009</v>
      </c>
      <c r="B505" t="s">
        <v>1941</v>
      </c>
      <c r="C505">
        <v>33</v>
      </c>
      <c r="D505" t="s">
        <v>41</v>
      </c>
      <c r="E505" t="s">
        <v>34</v>
      </c>
      <c r="F505" t="s">
        <v>137</v>
      </c>
      <c r="G505" t="s">
        <v>100</v>
      </c>
      <c r="H505" t="s">
        <v>101</v>
      </c>
      <c r="I505" t="s">
        <v>27</v>
      </c>
      <c r="J505" t="s">
        <v>1010</v>
      </c>
      <c r="K505">
        <v>2021</v>
      </c>
      <c r="L505">
        <v>3</v>
      </c>
      <c r="M505">
        <v>11</v>
      </c>
      <c r="N505" t="s">
        <v>29</v>
      </c>
      <c r="O505">
        <v>5</v>
      </c>
      <c r="P505">
        <v>4</v>
      </c>
      <c r="Q505" t="s">
        <v>30</v>
      </c>
      <c r="R505">
        <v>7</v>
      </c>
      <c r="S505">
        <v>25</v>
      </c>
      <c r="T505">
        <v>74163</v>
      </c>
      <c r="U505">
        <v>10100</v>
      </c>
      <c r="V505">
        <v>10.9</v>
      </c>
      <c r="W505" t="s">
        <v>31</v>
      </c>
    </row>
    <row r="506" spans="1:23" x14ac:dyDescent="0.3">
      <c r="A506" t="s">
        <v>1011</v>
      </c>
      <c r="B506" t="s">
        <v>2107</v>
      </c>
      <c r="C506">
        <v>34</v>
      </c>
      <c r="D506" t="s">
        <v>41</v>
      </c>
      <c r="E506" t="s">
        <v>34</v>
      </c>
      <c r="F506" t="s">
        <v>42</v>
      </c>
      <c r="G506" t="s">
        <v>36</v>
      </c>
      <c r="H506" t="s">
        <v>68</v>
      </c>
      <c r="I506" t="s">
        <v>27</v>
      </c>
      <c r="J506" t="s">
        <v>1012</v>
      </c>
      <c r="K506">
        <v>2022</v>
      </c>
      <c r="L506">
        <v>2</v>
      </c>
      <c r="M506">
        <v>10</v>
      </c>
      <c r="N506" t="s">
        <v>39</v>
      </c>
      <c r="O506">
        <v>2</v>
      </c>
      <c r="P506">
        <v>1</v>
      </c>
      <c r="Q506" t="s">
        <v>30</v>
      </c>
      <c r="R506">
        <v>13</v>
      </c>
      <c r="S506">
        <v>33</v>
      </c>
      <c r="T506">
        <v>50813</v>
      </c>
      <c r="U506">
        <v>1700</v>
      </c>
      <c r="V506">
        <v>12</v>
      </c>
      <c r="W506" t="s">
        <v>30</v>
      </c>
    </row>
    <row r="507" spans="1:23" x14ac:dyDescent="0.3">
      <c r="A507" t="s">
        <v>1013</v>
      </c>
      <c r="B507" t="s">
        <v>2108</v>
      </c>
      <c r="C507">
        <v>32</v>
      </c>
      <c r="D507" t="s">
        <v>33</v>
      </c>
      <c r="E507" t="s">
        <v>61</v>
      </c>
      <c r="F507" t="s">
        <v>47</v>
      </c>
      <c r="G507" t="s">
        <v>25</v>
      </c>
      <c r="H507" t="s">
        <v>110</v>
      </c>
      <c r="I507" t="s">
        <v>27</v>
      </c>
      <c r="J507" t="s">
        <v>1014</v>
      </c>
      <c r="K507">
        <v>2023</v>
      </c>
      <c r="L507">
        <v>1</v>
      </c>
      <c r="M507">
        <v>6</v>
      </c>
      <c r="N507" t="s">
        <v>98</v>
      </c>
      <c r="O507">
        <v>1</v>
      </c>
      <c r="P507">
        <v>3</v>
      </c>
      <c r="Q507" t="s">
        <v>31</v>
      </c>
      <c r="R507">
        <v>13</v>
      </c>
      <c r="S507">
        <v>57</v>
      </c>
      <c r="T507">
        <v>74144</v>
      </c>
      <c r="U507">
        <v>5200</v>
      </c>
      <c r="V507">
        <v>10.6</v>
      </c>
      <c r="W507" t="s">
        <v>31</v>
      </c>
    </row>
    <row r="508" spans="1:23" x14ac:dyDescent="0.3">
      <c r="A508" t="s">
        <v>1015</v>
      </c>
      <c r="B508" t="s">
        <v>1938</v>
      </c>
      <c r="C508">
        <v>31</v>
      </c>
      <c r="D508" t="s">
        <v>41</v>
      </c>
      <c r="E508" t="s">
        <v>71</v>
      </c>
      <c r="F508" t="s">
        <v>75</v>
      </c>
      <c r="G508" t="s">
        <v>36</v>
      </c>
      <c r="H508" t="s">
        <v>68</v>
      </c>
      <c r="I508" t="s">
        <v>27</v>
      </c>
      <c r="J508" t="s">
        <v>1016</v>
      </c>
      <c r="K508">
        <v>2022</v>
      </c>
      <c r="L508">
        <v>2</v>
      </c>
      <c r="M508">
        <v>4</v>
      </c>
      <c r="N508" t="s">
        <v>85</v>
      </c>
      <c r="O508">
        <v>3</v>
      </c>
      <c r="P508">
        <v>5</v>
      </c>
      <c r="Q508" t="s">
        <v>31</v>
      </c>
      <c r="R508">
        <v>6</v>
      </c>
      <c r="S508">
        <v>52</v>
      </c>
      <c r="T508">
        <v>91191</v>
      </c>
      <c r="U508">
        <v>21000</v>
      </c>
      <c r="V508">
        <v>13.1</v>
      </c>
      <c r="W508" t="s">
        <v>31</v>
      </c>
    </row>
    <row r="509" spans="1:23" x14ac:dyDescent="0.3">
      <c r="A509" t="s">
        <v>1017</v>
      </c>
      <c r="B509" t="s">
        <v>1822</v>
      </c>
      <c r="C509">
        <v>43</v>
      </c>
      <c r="D509" t="s">
        <v>33</v>
      </c>
      <c r="E509" t="s">
        <v>34</v>
      </c>
      <c r="F509" t="s">
        <v>153</v>
      </c>
      <c r="G509" t="s">
        <v>82</v>
      </c>
      <c r="H509" t="s">
        <v>286</v>
      </c>
      <c r="I509" t="s">
        <v>27</v>
      </c>
      <c r="J509" t="s">
        <v>753</v>
      </c>
      <c r="K509">
        <v>2023</v>
      </c>
      <c r="L509">
        <v>1</v>
      </c>
      <c r="M509">
        <v>15</v>
      </c>
      <c r="N509" t="s">
        <v>29</v>
      </c>
      <c r="O509">
        <v>2</v>
      </c>
      <c r="P509">
        <v>5</v>
      </c>
      <c r="Q509" t="s">
        <v>31</v>
      </c>
      <c r="R509">
        <v>6</v>
      </c>
      <c r="S509">
        <v>80</v>
      </c>
      <c r="T509">
        <v>48580</v>
      </c>
      <c r="U509">
        <v>6400</v>
      </c>
      <c r="V509">
        <v>7.1</v>
      </c>
      <c r="W509" t="s">
        <v>31</v>
      </c>
    </row>
    <row r="510" spans="1:23" x14ac:dyDescent="0.3">
      <c r="A510" t="s">
        <v>1018</v>
      </c>
      <c r="B510" t="s">
        <v>2031</v>
      </c>
      <c r="C510">
        <v>40</v>
      </c>
      <c r="D510" t="s">
        <v>33</v>
      </c>
      <c r="E510" t="s">
        <v>23</v>
      </c>
      <c r="F510" t="s">
        <v>42</v>
      </c>
      <c r="G510" t="s">
        <v>36</v>
      </c>
      <c r="H510" t="s">
        <v>76</v>
      </c>
      <c r="I510" t="s">
        <v>27</v>
      </c>
      <c r="J510" t="s">
        <v>953</v>
      </c>
      <c r="K510">
        <v>2023</v>
      </c>
      <c r="L510">
        <v>1</v>
      </c>
      <c r="M510">
        <v>18</v>
      </c>
      <c r="N510" t="s">
        <v>98</v>
      </c>
      <c r="O510">
        <v>1</v>
      </c>
      <c r="P510">
        <v>5</v>
      </c>
      <c r="Q510" t="s">
        <v>31</v>
      </c>
      <c r="R510">
        <v>6</v>
      </c>
      <c r="S510">
        <v>46</v>
      </c>
      <c r="T510">
        <v>46383</v>
      </c>
      <c r="U510">
        <v>2700</v>
      </c>
      <c r="V510">
        <v>11.5</v>
      </c>
      <c r="W510" t="s">
        <v>31</v>
      </c>
    </row>
    <row r="511" spans="1:23" x14ac:dyDescent="0.3">
      <c r="A511" t="s">
        <v>1019</v>
      </c>
      <c r="B511" t="s">
        <v>2109</v>
      </c>
      <c r="C511">
        <v>33</v>
      </c>
      <c r="D511" t="s">
        <v>22</v>
      </c>
      <c r="E511" t="s">
        <v>34</v>
      </c>
      <c r="F511" t="s">
        <v>42</v>
      </c>
      <c r="G511" t="s">
        <v>43</v>
      </c>
      <c r="H511" t="s">
        <v>44</v>
      </c>
      <c r="I511" t="s">
        <v>27</v>
      </c>
      <c r="J511" t="s">
        <v>1020</v>
      </c>
      <c r="K511">
        <v>2022</v>
      </c>
      <c r="L511">
        <v>2</v>
      </c>
      <c r="M511">
        <v>6</v>
      </c>
      <c r="N511" t="s">
        <v>29</v>
      </c>
      <c r="O511">
        <v>4</v>
      </c>
      <c r="P511">
        <v>4</v>
      </c>
      <c r="Q511" t="s">
        <v>31</v>
      </c>
      <c r="R511">
        <v>1</v>
      </c>
      <c r="S511">
        <v>20</v>
      </c>
      <c r="T511">
        <v>98261</v>
      </c>
      <c r="U511">
        <v>10600</v>
      </c>
      <c r="V511">
        <v>3.2</v>
      </c>
      <c r="W511" t="s">
        <v>31</v>
      </c>
    </row>
    <row r="512" spans="1:23" x14ac:dyDescent="0.3">
      <c r="A512" t="s">
        <v>1021</v>
      </c>
      <c r="B512" t="s">
        <v>2088</v>
      </c>
      <c r="C512">
        <v>32</v>
      </c>
      <c r="D512" t="s">
        <v>41</v>
      </c>
      <c r="E512" t="s">
        <v>71</v>
      </c>
      <c r="F512" t="s">
        <v>153</v>
      </c>
      <c r="G512" t="s">
        <v>43</v>
      </c>
      <c r="H512" t="s">
        <v>96</v>
      </c>
      <c r="I512" t="s">
        <v>27</v>
      </c>
      <c r="J512" t="s">
        <v>189</v>
      </c>
      <c r="K512">
        <v>2022</v>
      </c>
      <c r="L512">
        <v>2</v>
      </c>
      <c r="M512">
        <v>4</v>
      </c>
      <c r="N512" t="s">
        <v>98</v>
      </c>
      <c r="O512">
        <v>5</v>
      </c>
      <c r="P512">
        <v>5</v>
      </c>
      <c r="Q512" t="s">
        <v>31</v>
      </c>
      <c r="R512">
        <v>4</v>
      </c>
      <c r="S512">
        <v>12</v>
      </c>
      <c r="T512">
        <v>87195</v>
      </c>
      <c r="U512">
        <v>7000</v>
      </c>
      <c r="V512">
        <v>13.3</v>
      </c>
      <c r="W512" t="s">
        <v>30</v>
      </c>
    </row>
    <row r="513" spans="1:23" x14ac:dyDescent="0.3">
      <c r="A513" t="s">
        <v>1022</v>
      </c>
      <c r="B513" t="s">
        <v>1850</v>
      </c>
      <c r="C513">
        <v>39</v>
      </c>
      <c r="D513" t="s">
        <v>41</v>
      </c>
      <c r="E513" t="s">
        <v>34</v>
      </c>
      <c r="F513" t="s">
        <v>57</v>
      </c>
      <c r="G513" t="s">
        <v>43</v>
      </c>
      <c r="H513" t="s">
        <v>48</v>
      </c>
      <c r="I513" t="s">
        <v>27</v>
      </c>
      <c r="J513" t="s">
        <v>992</v>
      </c>
      <c r="K513">
        <v>2023</v>
      </c>
      <c r="L513">
        <v>1</v>
      </c>
      <c r="M513">
        <v>17</v>
      </c>
      <c r="N513" t="s">
        <v>29</v>
      </c>
      <c r="O513">
        <v>4</v>
      </c>
      <c r="P513">
        <v>5</v>
      </c>
      <c r="Q513" t="s">
        <v>30</v>
      </c>
      <c r="R513">
        <v>8</v>
      </c>
      <c r="S513">
        <v>61</v>
      </c>
      <c r="T513">
        <v>130149</v>
      </c>
      <c r="U513">
        <v>14100</v>
      </c>
      <c r="V513">
        <v>10.9</v>
      </c>
      <c r="W513" t="s">
        <v>31</v>
      </c>
    </row>
    <row r="514" spans="1:23" x14ac:dyDescent="0.3">
      <c r="A514" t="s">
        <v>1023</v>
      </c>
      <c r="B514" t="s">
        <v>1991</v>
      </c>
      <c r="C514">
        <v>44</v>
      </c>
      <c r="D514" t="s">
        <v>33</v>
      </c>
      <c r="E514" t="s">
        <v>23</v>
      </c>
      <c r="F514" t="s">
        <v>51</v>
      </c>
      <c r="G514" t="s">
        <v>52</v>
      </c>
      <c r="H514" t="s">
        <v>208</v>
      </c>
      <c r="I514" t="s">
        <v>27</v>
      </c>
      <c r="J514" t="s">
        <v>1024</v>
      </c>
      <c r="K514">
        <v>2022</v>
      </c>
      <c r="L514">
        <v>2</v>
      </c>
      <c r="M514">
        <v>16</v>
      </c>
      <c r="N514" t="s">
        <v>98</v>
      </c>
      <c r="O514">
        <v>5</v>
      </c>
      <c r="P514">
        <v>1</v>
      </c>
      <c r="Q514" t="s">
        <v>31</v>
      </c>
      <c r="R514">
        <v>20</v>
      </c>
      <c r="S514">
        <v>39</v>
      </c>
      <c r="T514">
        <v>80820</v>
      </c>
      <c r="U514">
        <v>5500</v>
      </c>
      <c r="V514">
        <v>9.9</v>
      </c>
      <c r="W514" t="s">
        <v>30</v>
      </c>
    </row>
    <row r="515" spans="1:23" x14ac:dyDescent="0.3">
      <c r="A515" t="s">
        <v>1025</v>
      </c>
      <c r="B515" t="s">
        <v>2110</v>
      </c>
      <c r="C515">
        <v>36</v>
      </c>
      <c r="D515" t="s">
        <v>41</v>
      </c>
      <c r="E515" t="s">
        <v>71</v>
      </c>
      <c r="F515" t="s">
        <v>75</v>
      </c>
      <c r="G515" t="s">
        <v>43</v>
      </c>
      <c r="H515" t="s">
        <v>96</v>
      </c>
      <c r="I515" t="s">
        <v>27</v>
      </c>
      <c r="J515" t="s">
        <v>1026</v>
      </c>
      <c r="K515">
        <v>2021</v>
      </c>
      <c r="L515">
        <v>3</v>
      </c>
      <c r="M515">
        <v>7</v>
      </c>
      <c r="N515" t="s">
        <v>85</v>
      </c>
      <c r="O515">
        <v>4</v>
      </c>
      <c r="P515">
        <v>3</v>
      </c>
      <c r="Q515" t="s">
        <v>31</v>
      </c>
      <c r="R515">
        <v>13</v>
      </c>
      <c r="S515">
        <v>39</v>
      </c>
      <c r="T515">
        <v>80995</v>
      </c>
      <c r="U515">
        <v>17000</v>
      </c>
      <c r="V515">
        <v>8.6999999999999993</v>
      </c>
      <c r="W515" t="s">
        <v>31</v>
      </c>
    </row>
    <row r="516" spans="1:23" x14ac:dyDescent="0.3">
      <c r="A516" t="s">
        <v>1027</v>
      </c>
      <c r="B516" t="s">
        <v>1958</v>
      </c>
      <c r="C516">
        <v>37</v>
      </c>
      <c r="D516" t="s">
        <v>33</v>
      </c>
      <c r="E516" t="s">
        <v>61</v>
      </c>
      <c r="F516" t="s">
        <v>42</v>
      </c>
      <c r="G516" t="s">
        <v>52</v>
      </c>
      <c r="H516" t="s">
        <v>208</v>
      </c>
      <c r="I516" t="s">
        <v>79</v>
      </c>
      <c r="J516" t="s">
        <v>1028</v>
      </c>
      <c r="K516">
        <v>2024</v>
      </c>
      <c r="L516">
        <v>0</v>
      </c>
      <c r="M516">
        <v>7</v>
      </c>
      <c r="N516" t="s">
        <v>29</v>
      </c>
      <c r="O516">
        <v>1</v>
      </c>
      <c r="P516">
        <v>1</v>
      </c>
      <c r="Q516" t="s">
        <v>31</v>
      </c>
      <c r="R516">
        <v>13</v>
      </c>
      <c r="S516">
        <v>9</v>
      </c>
      <c r="T516">
        <v>80755</v>
      </c>
      <c r="U516">
        <v>11500</v>
      </c>
      <c r="V516">
        <v>5.8</v>
      </c>
      <c r="W516" t="s">
        <v>31</v>
      </c>
    </row>
    <row r="517" spans="1:23" x14ac:dyDescent="0.3">
      <c r="A517" t="s">
        <v>1029</v>
      </c>
      <c r="B517" t="s">
        <v>1944</v>
      </c>
      <c r="C517">
        <v>38</v>
      </c>
      <c r="D517" t="s">
        <v>41</v>
      </c>
      <c r="E517" t="s">
        <v>34</v>
      </c>
      <c r="F517" t="s">
        <v>153</v>
      </c>
      <c r="G517" t="s">
        <v>52</v>
      </c>
      <c r="H517" t="s">
        <v>320</v>
      </c>
      <c r="I517" t="s">
        <v>27</v>
      </c>
      <c r="J517" t="s">
        <v>1030</v>
      </c>
      <c r="K517">
        <v>2021</v>
      </c>
      <c r="L517">
        <v>3</v>
      </c>
      <c r="M517">
        <v>15</v>
      </c>
      <c r="N517" t="s">
        <v>29</v>
      </c>
      <c r="O517">
        <v>3</v>
      </c>
      <c r="P517">
        <v>1</v>
      </c>
      <c r="Q517" t="s">
        <v>31</v>
      </c>
      <c r="R517">
        <v>13</v>
      </c>
      <c r="S517">
        <v>37</v>
      </c>
      <c r="T517">
        <v>72799</v>
      </c>
      <c r="U517">
        <v>9200</v>
      </c>
      <c r="V517">
        <v>9.3000000000000007</v>
      </c>
      <c r="W517" t="s">
        <v>31</v>
      </c>
    </row>
    <row r="518" spans="1:23" x14ac:dyDescent="0.3">
      <c r="A518" t="s">
        <v>1031</v>
      </c>
      <c r="B518" t="s">
        <v>2085</v>
      </c>
      <c r="C518">
        <v>30</v>
      </c>
      <c r="D518" t="s">
        <v>33</v>
      </c>
      <c r="E518" t="s">
        <v>34</v>
      </c>
      <c r="F518" t="s">
        <v>75</v>
      </c>
      <c r="G518" t="s">
        <v>43</v>
      </c>
      <c r="H518" t="s">
        <v>96</v>
      </c>
      <c r="I518" t="s">
        <v>65</v>
      </c>
      <c r="J518" t="s">
        <v>1032</v>
      </c>
      <c r="K518">
        <v>2023</v>
      </c>
      <c r="L518">
        <v>1</v>
      </c>
      <c r="M518">
        <v>6</v>
      </c>
      <c r="N518" t="s">
        <v>98</v>
      </c>
      <c r="O518">
        <v>2</v>
      </c>
      <c r="P518">
        <v>2</v>
      </c>
      <c r="Q518" t="s">
        <v>31</v>
      </c>
      <c r="R518">
        <v>16</v>
      </c>
      <c r="S518">
        <v>60</v>
      </c>
      <c r="T518">
        <v>96799</v>
      </c>
      <c r="U518">
        <v>8000</v>
      </c>
      <c r="V518">
        <v>7.5</v>
      </c>
      <c r="W518" t="s">
        <v>31</v>
      </c>
    </row>
    <row r="519" spans="1:23" x14ac:dyDescent="0.3">
      <c r="A519" t="s">
        <v>1033</v>
      </c>
      <c r="B519" t="s">
        <v>1913</v>
      </c>
      <c r="C519">
        <v>35</v>
      </c>
      <c r="D519" t="s">
        <v>41</v>
      </c>
      <c r="E519" t="s">
        <v>34</v>
      </c>
      <c r="F519" t="s">
        <v>24</v>
      </c>
      <c r="G519" t="s">
        <v>36</v>
      </c>
      <c r="H519" t="s">
        <v>76</v>
      </c>
      <c r="I519" t="s">
        <v>27</v>
      </c>
      <c r="J519" t="s">
        <v>255</v>
      </c>
      <c r="K519">
        <v>2024</v>
      </c>
      <c r="L519">
        <v>0</v>
      </c>
      <c r="M519">
        <v>10</v>
      </c>
      <c r="N519" t="s">
        <v>29</v>
      </c>
      <c r="O519">
        <v>2</v>
      </c>
      <c r="P519">
        <v>3</v>
      </c>
      <c r="Q519" t="s">
        <v>30</v>
      </c>
      <c r="R519">
        <v>20</v>
      </c>
      <c r="S519">
        <v>1</v>
      </c>
      <c r="T519">
        <v>51150</v>
      </c>
      <c r="U519">
        <v>5700</v>
      </c>
      <c r="V519">
        <v>3.7</v>
      </c>
      <c r="W519" t="s">
        <v>31</v>
      </c>
    </row>
    <row r="520" spans="1:23" x14ac:dyDescent="0.3">
      <c r="A520" t="s">
        <v>1034</v>
      </c>
      <c r="B520" t="s">
        <v>2111</v>
      </c>
      <c r="C520">
        <v>37</v>
      </c>
      <c r="D520" t="s">
        <v>41</v>
      </c>
      <c r="E520" t="s">
        <v>71</v>
      </c>
      <c r="F520" t="s">
        <v>57</v>
      </c>
      <c r="G520" t="s">
        <v>36</v>
      </c>
      <c r="H520" t="s">
        <v>37</v>
      </c>
      <c r="I520" t="s">
        <v>27</v>
      </c>
      <c r="J520" t="s">
        <v>236</v>
      </c>
      <c r="K520">
        <v>2024</v>
      </c>
      <c r="L520">
        <v>0</v>
      </c>
      <c r="M520">
        <v>10</v>
      </c>
      <c r="N520" t="s">
        <v>39</v>
      </c>
      <c r="O520">
        <v>3</v>
      </c>
      <c r="P520">
        <v>2</v>
      </c>
      <c r="Q520" t="s">
        <v>31</v>
      </c>
      <c r="R520">
        <v>8</v>
      </c>
      <c r="S520">
        <v>72</v>
      </c>
      <c r="T520">
        <v>71428</v>
      </c>
      <c r="U520">
        <v>2200</v>
      </c>
      <c r="V520">
        <v>10.7</v>
      </c>
      <c r="W520" t="s">
        <v>30</v>
      </c>
    </row>
    <row r="521" spans="1:23" x14ac:dyDescent="0.3">
      <c r="A521" t="s">
        <v>1035</v>
      </c>
      <c r="B521" t="s">
        <v>1979</v>
      </c>
      <c r="C521">
        <v>45</v>
      </c>
      <c r="D521" t="s">
        <v>41</v>
      </c>
      <c r="E521" t="s">
        <v>23</v>
      </c>
      <c r="F521" t="s">
        <v>57</v>
      </c>
      <c r="G521" t="s">
        <v>82</v>
      </c>
      <c r="H521" t="s">
        <v>286</v>
      </c>
      <c r="I521" t="s">
        <v>65</v>
      </c>
      <c r="J521" t="s">
        <v>1036</v>
      </c>
      <c r="K521">
        <v>2024</v>
      </c>
      <c r="L521">
        <v>0</v>
      </c>
      <c r="M521">
        <v>19</v>
      </c>
      <c r="N521" t="s">
        <v>98</v>
      </c>
      <c r="O521">
        <v>5</v>
      </c>
      <c r="P521">
        <v>2</v>
      </c>
      <c r="Q521" t="s">
        <v>31</v>
      </c>
      <c r="R521">
        <v>4</v>
      </c>
      <c r="S521">
        <v>21</v>
      </c>
      <c r="T521">
        <v>85362</v>
      </c>
      <c r="U521">
        <v>5900</v>
      </c>
      <c r="V521">
        <v>5</v>
      </c>
      <c r="W521" t="s">
        <v>31</v>
      </c>
    </row>
    <row r="522" spans="1:23" x14ac:dyDescent="0.3">
      <c r="A522" t="s">
        <v>1037</v>
      </c>
      <c r="B522" t="s">
        <v>1823</v>
      </c>
      <c r="C522">
        <v>43</v>
      </c>
      <c r="D522" t="s">
        <v>33</v>
      </c>
      <c r="E522" t="s">
        <v>71</v>
      </c>
      <c r="F522" t="s">
        <v>51</v>
      </c>
      <c r="G522" t="s">
        <v>117</v>
      </c>
      <c r="H522" t="s">
        <v>118</v>
      </c>
      <c r="I522" t="s">
        <v>27</v>
      </c>
      <c r="J522" t="s">
        <v>1038</v>
      </c>
      <c r="K522">
        <v>2021</v>
      </c>
      <c r="L522">
        <v>3</v>
      </c>
      <c r="M522">
        <v>15</v>
      </c>
      <c r="N522" t="s">
        <v>29</v>
      </c>
      <c r="O522">
        <v>5</v>
      </c>
      <c r="P522">
        <v>3</v>
      </c>
      <c r="Q522" t="s">
        <v>31</v>
      </c>
      <c r="R522">
        <v>16</v>
      </c>
      <c r="S522">
        <v>10</v>
      </c>
      <c r="T522">
        <v>76436</v>
      </c>
      <c r="U522">
        <v>10100</v>
      </c>
      <c r="V522">
        <v>5.9</v>
      </c>
      <c r="W522" t="s">
        <v>31</v>
      </c>
    </row>
    <row r="523" spans="1:23" x14ac:dyDescent="0.3">
      <c r="A523" t="s">
        <v>1039</v>
      </c>
      <c r="B523" t="s">
        <v>1905</v>
      </c>
      <c r="C523">
        <v>44</v>
      </c>
      <c r="D523" t="s">
        <v>33</v>
      </c>
      <c r="E523" t="s">
        <v>34</v>
      </c>
      <c r="F523" t="s">
        <v>24</v>
      </c>
      <c r="G523" t="s">
        <v>43</v>
      </c>
      <c r="H523" t="s">
        <v>44</v>
      </c>
      <c r="I523" t="s">
        <v>79</v>
      </c>
      <c r="J523" t="s">
        <v>1040</v>
      </c>
      <c r="K523">
        <v>2023</v>
      </c>
      <c r="L523">
        <v>1</v>
      </c>
      <c r="M523">
        <v>14</v>
      </c>
      <c r="N523" t="s">
        <v>98</v>
      </c>
      <c r="O523">
        <v>3</v>
      </c>
      <c r="P523">
        <v>4</v>
      </c>
      <c r="Q523" t="s">
        <v>30</v>
      </c>
      <c r="R523">
        <v>6</v>
      </c>
      <c r="S523">
        <v>78</v>
      </c>
      <c r="T523">
        <v>102838</v>
      </c>
      <c r="U523">
        <v>7400</v>
      </c>
      <c r="V523">
        <v>8.1999999999999993</v>
      </c>
      <c r="W523" t="s">
        <v>31</v>
      </c>
    </row>
    <row r="524" spans="1:23" x14ac:dyDescent="0.3">
      <c r="A524" t="s">
        <v>1041</v>
      </c>
      <c r="B524" t="s">
        <v>1930</v>
      </c>
      <c r="C524">
        <v>42</v>
      </c>
      <c r="D524" t="s">
        <v>41</v>
      </c>
      <c r="E524" t="s">
        <v>34</v>
      </c>
      <c r="F524" t="s">
        <v>62</v>
      </c>
      <c r="G524" t="s">
        <v>25</v>
      </c>
      <c r="H524" t="s">
        <v>205</v>
      </c>
      <c r="I524" t="s">
        <v>27</v>
      </c>
      <c r="J524" t="s">
        <v>580</v>
      </c>
      <c r="K524">
        <v>2021</v>
      </c>
      <c r="L524">
        <v>3</v>
      </c>
      <c r="M524">
        <v>12</v>
      </c>
      <c r="N524" t="s">
        <v>29</v>
      </c>
      <c r="O524">
        <v>3</v>
      </c>
      <c r="P524">
        <v>4</v>
      </c>
      <c r="Q524" t="s">
        <v>31</v>
      </c>
      <c r="R524">
        <v>12</v>
      </c>
      <c r="S524">
        <v>5</v>
      </c>
      <c r="T524">
        <v>93416</v>
      </c>
      <c r="U524">
        <v>9400</v>
      </c>
      <c r="V524">
        <v>7.4</v>
      </c>
      <c r="W524" t="s">
        <v>31</v>
      </c>
    </row>
    <row r="525" spans="1:23" x14ac:dyDescent="0.3">
      <c r="A525" t="s">
        <v>1042</v>
      </c>
      <c r="B525" t="s">
        <v>2112</v>
      </c>
      <c r="C525">
        <v>49</v>
      </c>
      <c r="D525" t="s">
        <v>41</v>
      </c>
      <c r="E525" t="s">
        <v>71</v>
      </c>
      <c r="F525" t="s">
        <v>62</v>
      </c>
      <c r="G525" t="s">
        <v>52</v>
      </c>
      <c r="H525" t="s">
        <v>208</v>
      </c>
      <c r="I525" t="s">
        <v>79</v>
      </c>
      <c r="J525" t="s">
        <v>436</v>
      </c>
      <c r="K525">
        <v>2021</v>
      </c>
      <c r="L525">
        <v>3</v>
      </c>
      <c r="M525">
        <v>20</v>
      </c>
      <c r="N525" t="s">
        <v>98</v>
      </c>
      <c r="O525">
        <v>2</v>
      </c>
      <c r="P525">
        <v>2</v>
      </c>
      <c r="Q525" t="s">
        <v>31</v>
      </c>
      <c r="R525">
        <v>4</v>
      </c>
      <c r="S525">
        <v>10</v>
      </c>
      <c r="T525">
        <v>76027</v>
      </c>
      <c r="U525">
        <v>5600</v>
      </c>
      <c r="V525">
        <v>9.5</v>
      </c>
      <c r="W525" t="s">
        <v>31</v>
      </c>
    </row>
    <row r="526" spans="1:23" x14ac:dyDescent="0.3">
      <c r="A526" t="s">
        <v>1043</v>
      </c>
      <c r="B526" t="s">
        <v>2113</v>
      </c>
      <c r="C526">
        <v>29</v>
      </c>
      <c r="D526" t="s">
        <v>33</v>
      </c>
      <c r="E526" t="s">
        <v>34</v>
      </c>
      <c r="F526" t="s">
        <v>24</v>
      </c>
      <c r="G526" t="s">
        <v>25</v>
      </c>
      <c r="H526" t="s">
        <v>110</v>
      </c>
      <c r="I526" t="s">
        <v>79</v>
      </c>
      <c r="J526" t="s">
        <v>1044</v>
      </c>
      <c r="K526">
        <v>2024</v>
      </c>
      <c r="L526">
        <v>0</v>
      </c>
      <c r="M526">
        <v>2</v>
      </c>
      <c r="N526" t="s">
        <v>29</v>
      </c>
      <c r="O526">
        <v>2</v>
      </c>
      <c r="P526">
        <v>5</v>
      </c>
      <c r="Q526" t="s">
        <v>31</v>
      </c>
      <c r="R526">
        <v>23</v>
      </c>
      <c r="S526">
        <v>46</v>
      </c>
      <c r="T526">
        <v>90657</v>
      </c>
      <c r="U526">
        <v>12400</v>
      </c>
      <c r="V526">
        <v>10.9</v>
      </c>
      <c r="W526" t="s">
        <v>31</v>
      </c>
    </row>
    <row r="527" spans="1:23" x14ac:dyDescent="0.3">
      <c r="A527" t="s">
        <v>1045</v>
      </c>
      <c r="B527" t="s">
        <v>1855</v>
      </c>
      <c r="C527">
        <v>41</v>
      </c>
      <c r="D527" t="s">
        <v>33</v>
      </c>
      <c r="E527" t="s">
        <v>71</v>
      </c>
      <c r="F527" t="s">
        <v>137</v>
      </c>
      <c r="G527" t="s">
        <v>52</v>
      </c>
      <c r="H527" t="s">
        <v>132</v>
      </c>
      <c r="I527" t="s">
        <v>27</v>
      </c>
      <c r="J527" t="s">
        <v>878</v>
      </c>
      <c r="K527">
        <v>2021</v>
      </c>
      <c r="L527">
        <v>3</v>
      </c>
      <c r="M527">
        <v>17</v>
      </c>
      <c r="N527" t="s">
        <v>85</v>
      </c>
      <c r="O527">
        <v>5</v>
      </c>
      <c r="P527">
        <v>3</v>
      </c>
      <c r="Q527" t="s">
        <v>31</v>
      </c>
      <c r="R527">
        <v>3</v>
      </c>
      <c r="S527">
        <v>43</v>
      </c>
      <c r="T527">
        <v>50502</v>
      </c>
      <c r="U527">
        <v>8300</v>
      </c>
      <c r="V527">
        <v>10.3</v>
      </c>
      <c r="W527" t="s">
        <v>31</v>
      </c>
    </row>
    <row r="528" spans="1:23" x14ac:dyDescent="0.3">
      <c r="A528" t="s">
        <v>1046</v>
      </c>
      <c r="B528" t="s">
        <v>2114</v>
      </c>
      <c r="C528">
        <v>27</v>
      </c>
      <c r="D528" t="s">
        <v>33</v>
      </c>
      <c r="E528" t="s">
        <v>71</v>
      </c>
      <c r="F528" t="s">
        <v>24</v>
      </c>
      <c r="G528" t="s">
        <v>117</v>
      </c>
      <c r="H528" t="s">
        <v>118</v>
      </c>
      <c r="I528" t="s">
        <v>27</v>
      </c>
      <c r="J528" t="s">
        <v>351</v>
      </c>
      <c r="K528">
        <v>2024</v>
      </c>
      <c r="L528">
        <v>0</v>
      </c>
      <c r="M528">
        <v>3</v>
      </c>
      <c r="N528" t="s">
        <v>29</v>
      </c>
      <c r="O528">
        <v>2</v>
      </c>
      <c r="P528">
        <v>3</v>
      </c>
      <c r="Q528" t="s">
        <v>30</v>
      </c>
      <c r="R528">
        <v>21</v>
      </c>
      <c r="S528">
        <v>24</v>
      </c>
      <c r="T528">
        <v>67167</v>
      </c>
      <c r="U528">
        <v>8500</v>
      </c>
      <c r="V528">
        <v>3.2</v>
      </c>
      <c r="W528" t="s">
        <v>31</v>
      </c>
    </row>
    <row r="529" spans="1:23" x14ac:dyDescent="0.3">
      <c r="A529" t="s">
        <v>1047</v>
      </c>
      <c r="B529" t="s">
        <v>2115</v>
      </c>
      <c r="C529">
        <v>32</v>
      </c>
      <c r="D529" t="s">
        <v>41</v>
      </c>
      <c r="E529" t="s">
        <v>34</v>
      </c>
      <c r="F529" t="s">
        <v>57</v>
      </c>
      <c r="G529" t="s">
        <v>36</v>
      </c>
      <c r="H529" t="s">
        <v>37</v>
      </c>
      <c r="I529" t="s">
        <v>27</v>
      </c>
      <c r="J529" t="s">
        <v>1048</v>
      </c>
      <c r="K529">
        <v>2023</v>
      </c>
      <c r="L529">
        <v>1</v>
      </c>
      <c r="M529">
        <v>5</v>
      </c>
      <c r="N529" t="s">
        <v>29</v>
      </c>
      <c r="O529">
        <v>5</v>
      </c>
      <c r="P529">
        <v>3</v>
      </c>
      <c r="Q529" t="s">
        <v>31</v>
      </c>
      <c r="R529">
        <v>11</v>
      </c>
      <c r="S529">
        <v>66</v>
      </c>
      <c r="T529">
        <v>57336</v>
      </c>
      <c r="U529">
        <v>6100</v>
      </c>
      <c r="V529">
        <v>14.8</v>
      </c>
      <c r="W529" t="s">
        <v>31</v>
      </c>
    </row>
    <row r="530" spans="1:23" x14ac:dyDescent="0.3">
      <c r="A530" t="s">
        <v>1049</v>
      </c>
      <c r="B530" t="s">
        <v>1905</v>
      </c>
      <c r="C530">
        <v>47</v>
      </c>
      <c r="D530" t="s">
        <v>33</v>
      </c>
      <c r="E530" t="s">
        <v>34</v>
      </c>
      <c r="F530" t="s">
        <v>75</v>
      </c>
      <c r="G530" t="s">
        <v>36</v>
      </c>
      <c r="H530" t="s">
        <v>89</v>
      </c>
      <c r="I530" t="s">
        <v>27</v>
      </c>
      <c r="J530" t="s">
        <v>1050</v>
      </c>
      <c r="K530">
        <v>2022</v>
      </c>
      <c r="L530">
        <v>2</v>
      </c>
      <c r="M530">
        <v>19</v>
      </c>
      <c r="N530" t="s">
        <v>29</v>
      </c>
      <c r="O530">
        <v>5</v>
      </c>
      <c r="P530">
        <v>5</v>
      </c>
      <c r="Q530" t="s">
        <v>31</v>
      </c>
      <c r="R530">
        <v>23</v>
      </c>
      <c r="S530">
        <v>34</v>
      </c>
      <c r="T530">
        <v>82271</v>
      </c>
      <c r="U530">
        <v>10700</v>
      </c>
      <c r="V530">
        <v>7.2</v>
      </c>
      <c r="W530" t="s">
        <v>31</v>
      </c>
    </row>
    <row r="531" spans="1:23" x14ac:dyDescent="0.3">
      <c r="A531" t="s">
        <v>1051</v>
      </c>
      <c r="B531" t="s">
        <v>2074</v>
      </c>
      <c r="C531">
        <v>25</v>
      </c>
      <c r="D531" t="s">
        <v>41</v>
      </c>
      <c r="E531" t="s">
        <v>71</v>
      </c>
      <c r="F531" t="s">
        <v>62</v>
      </c>
      <c r="G531" t="s">
        <v>36</v>
      </c>
      <c r="H531" t="s">
        <v>76</v>
      </c>
      <c r="I531" t="s">
        <v>65</v>
      </c>
      <c r="J531" t="s">
        <v>586</v>
      </c>
      <c r="K531">
        <v>2022</v>
      </c>
      <c r="L531">
        <v>2</v>
      </c>
      <c r="M531">
        <v>2</v>
      </c>
      <c r="N531" t="s">
        <v>85</v>
      </c>
      <c r="O531">
        <v>3</v>
      </c>
      <c r="P531">
        <v>1</v>
      </c>
      <c r="Q531" t="s">
        <v>31</v>
      </c>
      <c r="R531">
        <v>20</v>
      </c>
      <c r="S531">
        <v>45</v>
      </c>
      <c r="T531">
        <v>86360</v>
      </c>
      <c r="U531">
        <v>14800</v>
      </c>
      <c r="V531">
        <v>10</v>
      </c>
      <c r="W531" t="s">
        <v>31</v>
      </c>
    </row>
    <row r="532" spans="1:23" x14ac:dyDescent="0.3">
      <c r="A532" t="s">
        <v>1052</v>
      </c>
      <c r="B532" t="s">
        <v>1909</v>
      </c>
      <c r="C532">
        <v>33</v>
      </c>
      <c r="D532" t="s">
        <v>41</v>
      </c>
      <c r="E532" t="s">
        <v>34</v>
      </c>
      <c r="F532" t="s">
        <v>153</v>
      </c>
      <c r="G532" t="s">
        <v>36</v>
      </c>
      <c r="H532" t="s">
        <v>76</v>
      </c>
      <c r="I532" t="s">
        <v>27</v>
      </c>
      <c r="J532" t="s">
        <v>59</v>
      </c>
      <c r="K532">
        <v>2023</v>
      </c>
      <c r="L532">
        <v>1</v>
      </c>
      <c r="M532">
        <v>6</v>
      </c>
      <c r="N532" t="s">
        <v>29</v>
      </c>
      <c r="O532">
        <v>4</v>
      </c>
      <c r="P532">
        <v>2</v>
      </c>
      <c r="Q532" t="s">
        <v>31</v>
      </c>
      <c r="R532">
        <v>8</v>
      </c>
      <c r="S532">
        <v>47</v>
      </c>
      <c r="T532">
        <v>75594</v>
      </c>
      <c r="U532">
        <v>10000</v>
      </c>
      <c r="V532">
        <v>8.3000000000000007</v>
      </c>
      <c r="W532" t="s">
        <v>31</v>
      </c>
    </row>
    <row r="533" spans="1:23" x14ac:dyDescent="0.3">
      <c r="A533" t="s">
        <v>1053</v>
      </c>
      <c r="B533" t="s">
        <v>2116</v>
      </c>
      <c r="C533">
        <v>40</v>
      </c>
      <c r="D533" t="s">
        <v>41</v>
      </c>
      <c r="E533" t="s">
        <v>34</v>
      </c>
      <c r="F533" t="s">
        <v>47</v>
      </c>
      <c r="G533" t="s">
        <v>25</v>
      </c>
      <c r="H533" t="s">
        <v>58</v>
      </c>
      <c r="I533" t="s">
        <v>79</v>
      </c>
      <c r="J533" t="s">
        <v>1054</v>
      </c>
      <c r="K533">
        <v>2021</v>
      </c>
      <c r="L533">
        <v>3</v>
      </c>
      <c r="M533">
        <v>17</v>
      </c>
      <c r="N533" t="s">
        <v>29</v>
      </c>
      <c r="O533">
        <v>5</v>
      </c>
      <c r="P533">
        <v>2</v>
      </c>
      <c r="Q533" t="s">
        <v>30</v>
      </c>
      <c r="R533">
        <v>18</v>
      </c>
      <c r="S533">
        <v>17</v>
      </c>
      <c r="T533">
        <v>105729</v>
      </c>
      <c r="U533">
        <v>13100</v>
      </c>
      <c r="V533">
        <v>10.1</v>
      </c>
      <c r="W533" t="s">
        <v>31</v>
      </c>
    </row>
    <row r="534" spans="1:23" x14ac:dyDescent="0.3">
      <c r="A534" t="s">
        <v>1055</v>
      </c>
      <c r="B534" t="s">
        <v>2117</v>
      </c>
      <c r="C534">
        <v>32</v>
      </c>
      <c r="D534" t="s">
        <v>33</v>
      </c>
      <c r="E534" t="s">
        <v>71</v>
      </c>
      <c r="F534" t="s">
        <v>35</v>
      </c>
      <c r="G534" t="s">
        <v>100</v>
      </c>
      <c r="H534" t="s">
        <v>145</v>
      </c>
      <c r="I534" t="s">
        <v>27</v>
      </c>
      <c r="J534" t="s">
        <v>1056</v>
      </c>
      <c r="K534">
        <v>2021</v>
      </c>
      <c r="L534">
        <v>3</v>
      </c>
      <c r="M534">
        <v>5</v>
      </c>
      <c r="N534" t="s">
        <v>29</v>
      </c>
      <c r="O534">
        <v>2</v>
      </c>
      <c r="P534">
        <v>4</v>
      </c>
      <c r="Q534" t="s">
        <v>31</v>
      </c>
      <c r="R534">
        <v>2</v>
      </c>
      <c r="S534">
        <v>31</v>
      </c>
      <c r="T534">
        <v>50835</v>
      </c>
      <c r="U534">
        <v>6500</v>
      </c>
      <c r="V534">
        <v>5.4</v>
      </c>
      <c r="W534" t="s">
        <v>31</v>
      </c>
    </row>
    <row r="535" spans="1:23" x14ac:dyDescent="0.3">
      <c r="A535" t="s">
        <v>1057</v>
      </c>
      <c r="B535" t="s">
        <v>1871</v>
      </c>
      <c r="C535">
        <v>33</v>
      </c>
      <c r="D535" t="s">
        <v>33</v>
      </c>
      <c r="E535" t="s">
        <v>34</v>
      </c>
      <c r="F535" t="s">
        <v>57</v>
      </c>
      <c r="G535" t="s">
        <v>43</v>
      </c>
      <c r="H535" t="s">
        <v>44</v>
      </c>
      <c r="I535" t="s">
        <v>27</v>
      </c>
      <c r="J535" t="s">
        <v>1058</v>
      </c>
      <c r="K535">
        <v>2023</v>
      </c>
      <c r="L535">
        <v>1</v>
      </c>
      <c r="M535">
        <v>6</v>
      </c>
      <c r="N535" t="s">
        <v>98</v>
      </c>
      <c r="O535">
        <v>3</v>
      </c>
      <c r="P535">
        <v>2</v>
      </c>
      <c r="Q535" t="s">
        <v>31</v>
      </c>
      <c r="R535">
        <v>12</v>
      </c>
      <c r="S535">
        <v>41</v>
      </c>
      <c r="T535">
        <v>121648</v>
      </c>
      <c r="U535">
        <v>9900</v>
      </c>
      <c r="V535">
        <v>11</v>
      </c>
      <c r="W535" t="s">
        <v>31</v>
      </c>
    </row>
    <row r="536" spans="1:23" x14ac:dyDescent="0.3">
      <c r="A536" t="s">
        <v>1059</v>
      </c>
      <c r="B536" t="s">
        <v>1933</v>
      </c>
      <c r="C536">
        <v>41</v>
      </c>
      <c r="D536" t="s">
        <v>33</v>
      </c>
      <c r="E536" t="s">
        <v>34</v>
      </c>
      <c r="F536" t="s">
        <v>24</v>
      </c>
      <c r="G536" t="s">
        <v>25</v>
      </c>
      <c r="H536" t="s">
        <v>58</v>
      </c>
      <c r="I536" t="s">
        <v>27</v>
      </c>
      <c r="J536" t="s">
        <v>1060</v>
      </c>
      <c r="K536">
        <v>2024</v>
      </c>
      <c r="L536">
        <v>0</v>
      </c>
      <c r="M536">
        <v>18</v>
      </c>
      <c r="N536" t="s">
        <v>98</v>
      </c>
      <c r="O536">
        <v>5</v>
      </c>
      <c r="P536">
        <v>1</v>
      </c>
      <c r="Q536" t="s">
        <v>31</v>
      </c>
      <c r="R536">
        <v>19</v>
      </c>
      <c r="S536">
        <v>76</v>
      </c>
      <c r="T536">
        <v>98901</v>
      </c>
      <c r="U536">
        <v>7200</v>
      </c>
      <c r="V536">
        <v>5.7</v>
      </c>
      <c r="W536" t="s">
        <v>31</v>
      </c>
    </row>
    <row r="537" spans="1:23" x14ac:dyDescent="0.3">
      <c r="A537" t="s">
        <v>1061</v>
      </c>
      <c r="B537" t="s">
        <v>2118</v>
      </c>
      <c r="C537">
        <v>27</v>
      </c>
      <c r="D537" t="s">
        <v>33</v>
      </c>
      <c r="E537" t="s">
        <v>34</v>
      </c>
      <c r="F537" t="s">
        <v>51</v>
      </c>
      <c r="G537" t="s">
        <v>52</v>
      </c>
      <c r="H537" t="s">
        <v>320</v>
      </c>
      <c r="I537" t="s">
        <v>27</v>
      </c>
      <c r="J537" t="s">
        <v>1062</v>
      </c>
      <c r="K537">
        <v>2022</v>
      </c>
      <c r="L537">
        <v>2</v>
      </c>
      <c r="M537">
        <v>2</v>
      </c>
      <c r="N537" t="s">
        <v>29</v>
      </c>
      <c r="O537">
        <v>4</v>
      </c>
      <c r="P537">
        <v>2</v>
      </c>
      <c r="Q537" t="s">
        <v>31</v>
      </c>
      <c r="R537">
        <v>5</v>
      </c>
      <c r="S537">
        <v>50</v>
      </c>
      <c r="T537">
        <v>51085</v>
      </c>
      <c r="U537">
        <v>6500</v>
      </c>
      <c r="V537">
        <v>8.1</v>
      </c>
      <c r="W537" t="s">
        <v>31</v>
      </c>
    </row>
    <row r="538" spans="1:23" x14ac:dyDescent="0.3">
      <c r="A538" t="s">
        <v>1063</v>
      </c>
      <c r="B538" t="s">
        <v>2043</v>
      </c>
      <c r="C538">
        <v>35</v>
      </c>
      <c r="D538" t="s">
        <v>41</v>
      </c>
      <c r="E538" t="s">
        <v>34</v>
      </c>
      <c r="F538" t="s">
        <v>153</v>
      </c>
      <c r="G538" t="s">
        <v>36</v>
      </c>
      <c r="H538" t="s">
        <v>76</v>
      </c>
      <c r="I538" t="s">
        <v>27</v>
      </c>
      <c r="J538" t="s">
        <v>1064</v>
      </c>
      <c r="K538">
        <v>2021</v>
      </c>
      <c r="L538">
        <v>3</v>
      </c>
      <c r="M538">
        <v>13</v>
      </c>
      <c r="N538" t="s">
        <v>29</v>
      </c>
      <c r="O538">
        <v>1</v>
      </c>
      <c r="P538">
        <v>3</v>
      </c>
      <c r="Q538" t="s">
        <v>31</v>
      </c>
      <c r="R538">
        <v>13</v>
      </c>
      <c r="S538">
        <v>33</v>
      </c>
      <c r="T538">
        <v>53437</v>
      </c>
      <c r="U538">
        <v>6100</v>
      </c>
      <c r="V538">
        <v>8.5</v>
      </c>
      <c r="W538" t="s">
        <v>31</v>
      </c>
    </row>
    <row r="539" spans="1:23" x14ac:dyDescent="0.3">
      <c r="A539" t="s">
        <v>1065</v>
      </c>
      <c r="B539" t="s">
        <v>1887</v>
      </c>
      <c r="C539">
        <v>43</v>
      </c>
      <c r="D539" t="s">
        <v>33</v>
      </c>
      <c r="E539" t="s">
        <v>61</v>
      </c>
      <c r="F539" t="s">
        <v>57</v>
      </c>
      <c r="G539" t="s">
        <v>100</v>
      </c>
      <c r="H539" t="s">
        <v>150</v>
      </c>
      <c r="I539" t="s">
        <v>27</v>
      </c>
      <c r="J539" t="s">
        <v>1066</v>
      </c>
      <c r="K539">
        <v>2024</v>
      </c>
      <c r="L539">
        <v>0</v>
      </c>
      <c r="M539">
        <v>16</v>
      </c>
      <c r="N539" t="s">
        <v>85</v>
      </c>
      <c r="O539">
        <v>3</v>
      </c>
      <c r="P539">
        <v>5</v>
      </c>
      <c r="Q539" t="s">
        <v>31</v>
      </c>
      <c r="R539">
        <v>8</v>
      </c>
      <c r="S539">
        <v>25</v>
      </c>
      <c r="T539">
        <v>63911</v>
      </c>
      <c r="U539">
        <v>11100</v>
      </c>
      <c r="V539">
        <v>8.1</v>
      </c>
      <c r="W539" t="s">
        <v>31</v>
      </c>
    </row>
    <row r="540" spans="1:23" x14ac:dyDescent="0.3">
      <c r="A540" t="s">
        <v>1067</v>
      </c>
      <c r="B540" t="s">
        <v>2119</v>
      </c>
      <c r="C540">
        <v>45</v>
      </c>
      <c r="D540" t="s">
        <v>41</v>
      </c>
      <c r="E540" t="s">
        <v>34</v>
      </c>
      <c r="F540" t="s">
        <v>42</v>
      </c>
      <c r="G540" t="s">
        <v>52</v>
      </c>
      <c r="H540" t="s">
        <v>320</v>
      </c>
      <c r="I540" t="s">
        <v>27</v>
      </c>
      <c r="J540" t="s">
        <v>1068</v>
      </c>
      <c r="K540">
        <v>2021</v>
      </c>
      <c r="L540">
        <v>3</v>
      </c>
      <c r="M540">
        <v>16</v>
      </c>
      <c r="N540" t="s">
        <v>98</v>
      </c>
      <c r="O540">
        <v>3</v>
      </c>
      <c r="P540">
        <v>3</v>
      </c>
      <c r="Q540" t="s">
        <v>31</v>
      </c>
      <c r="R540">
        <v>13</v>
      </c>
      <c r="S540">
        <v>2</v>
      </c>
      <c r="T540">
        <v>84277</v>
      </c>
      <c r="U540">
        <v>5300</v>
      </c>
      <c r="V540">
        <v>7</v>
      </c>
      <c r="W540" t="s">
        <v>31</v>
      </c>
    </row>
    <row r="541" spans="1:23" x14ac:dyDescent="0.3">
      <c r="A541" t="s">
        <v>1069</v>
      </c>
      <c r="B541" t="s">
        <v>2054</v>
      </c>
      <c r="C541">
        <v>32</v>
      </c>
      <c r="D541" t="s">
        <v>41</v>
      </c>
      <c r="E541" t="s">
        <v>71</v>
      </c>
      <c r="F541" t="s">
        <v>47</v>
      </c>
      <c r="G541" t="s">
        <v>36</v>
      </c>
      <c r="H541" t="s">
        <v>89</v>
      </c>
      <c r="I541" t="s">
        <v>27</v>
      </c>
      <c r="J541" t="s">
        <v>1070</v>
      </c>
      <c r="K541">
        <v>2021</v>
      </c>
      <c r="L541">
        <v>3</v>
      </c>
      <c r="M541">
        <v>2</v>
      </c>
      <c r="N541" t="s">
        <v>85</v>
      </c>
      <c r="O541">
        <v>4</v>
      </c>
      <c r="P541">
        <v>5</v>
      </c>
      <c r="Q541" t="s">
        <v>31</v>
      </c>
      <c r="R541">
        <v>7</v>
      </c>
      <c r="S541">
        <v>67</v>
      </c>
      <c r="T541">
        <v>61294</v>
      </c>
      <c r="U541">
        <v>12400</v>
      </c>
      <c r="V541">
        <v>4.5</v>
      </c>
      <c r="W541" t="s">
        <v>31</v>
      </c>
    </row>
    <row r="542" spans="1:23" x14ac:dyDescent="0.3">
      <c r="A542" t="s">
        <v>1071</v>
      </c>
      <c r="B542" t="s">
        <v>2084</v>
      </c>
      <c r="C542">
        <v>32</v>
      </c>
      <c r="D542" t="s">
        <v>41</v>
      </c>
      <c r="E542" t="s">
        <v>71</v>
      </c>
      <c r="F542" t="s">
        <v>47</v>
      </c>
      <c r="G542" t="s">
        <v>52</v>
      </c>
      <c r="H542" t="s">
        <v>320</v>
      </c>
      <c r="I542" t="s">
        <v>27</v>
      </c>
      <c r="J542" t="s">
        <v>1072</v>
      </c>
      <c r="K542">
        <v>2021</v>
      </c>
      <c r="L542">
        <v>3</v>
      </c>
      <c r="M542">
        <v>4</v>
      </c>
      <c r="N542" t="s">
        <v>29</v>
      </c>
      <c r="O542">
        <v>1</v>
      </c>
      <c r="P542">
        <v>4</v>
      </c>
      <c r="Q542" t="s">
        <v>30</v>
      </c>
      <c r="R542">
        <v>3</v>
      </c>
      <c r="S542">
        <v>24</v>
      </c>
      <c r="T542">
        <v>50161</v>
      </c>
      <c r="U542">
        <v>6300</v>
      </c>
      <c r="V542">
        <v>6.6</v>
      </c>
      <c r="W542" t="s">
        <v>31</v>
      </c>
    </row>
    <row r="543" spans="1:23" x14ac:dyDescent="0.3">
      <c r="A543" t="s">
        <v>1073</v>
      </c>
      <c r="B543" t="s">
        <v>2120</v>
      </c>
      <c r="C543">
        <v>29</v>
      </c>
      <c r="D543" t="s">
        <v>22</v>
      </c>
      <c r="E543" t="s">
        <v>71</v>
      </c>
      <c r="F543" t="s">
        <v>137</v>
      </c>
      <c r="G543" t="s">
        <v>117</v>
      </c>
      <c r="H543" t="s">
        <v>184</v>
      </c>
      <c r="I543" t="s">
        <v>27</v>
      </c>
      <c r="J543" t="s">
        <v>1074</v>
      </c>
      <c r="K543">
        <v>2022</v>
      </c>
      <c r="L543">
        <v>2</v>
      </c>
      <c r="M543">
        <v>2</v>
      </c>
      <c r="N543" t="s">
        <v>98</v>
      </c>
      <c r="O543">
        <v>2</v>
      </c>
      <c r="P543">
        <v>3</v>
      </c>
      <c r="Q543" t="s">
        <v>30</v>
      </c>
      <c r="R543">
        <v>8</v>
      </c>
      <c r="S543">
        <v>0</v>
      </c>
      <c r="T543">
        <v>69103</v>
      </c>
      <c r="U543">
        <v>4700</v>
      </c>
      <c r="V543">
        <v>12</v>
      </c>
      <c r="W543" t="s">
        <v>31</v>
      </c>
    </row>
    <row r="544" spans="1:23" x14ac:dyDescent="0.3">
      <c r="A544" t="s">
        <v>1075</v>
      </c>
      <c r="B544" t="s">
        <v>2121</v>
      </c>
      <c r="C544">
        <v>42</v>
      </c>
      <c r="D544" t="s">
        <v>41</v>
      </c>
      <c r="E544" t="s">
        <v>34</v>
      </c>
      <c r="F544" t="s">
        <v>51</v>
      </c>
      <c r="G544" t="s">
        <v>36</v>
      </c>
      <c r="H544" t="s">
        <v>89</v>
      </c>
      <c r="I544" t="s">
        <v>27</v>
      </c>
      <c r="J544" t="s">
        <v>626</v>
      </c>
      <c r="K544">
        <v>2022</v>
      </c>
      <c r="L544">
        <v>2</v>
      </c>
      <c r="M544">
        <v>15</v>
      </c>
      <c r="N544" t="s">
        <v>85</v>
      </c>
      <c r="O544">
        <v>5</v>
      </c>
      <c r="P544">
        <v>3</v>
      </c>
      <c r="Q544" t="s">
        <v>31</v>
      </c>
      <c r="R544">
        <v>17</v>
      </c>
      <c r="S544">
        <v>49</v>
      </c>
      <c r="T544">
        <v>59734</v>
      </c>
      <c r="U544">
        <v>11100</v>
      </c>
      <c r="V544">
        <v>3.8</v>
      </c>
      <c r="W544" t="s">
        <v>31</v>
      </c>
    </row>
    <row r="545" spans="1:23" x14ac:dyDescent="0.3">
      <c r="A545" t="s">
        <v>1076</v>
      </c>
      <c r="B545" t="s">
        <v>1958</v>
      </c>
      <c r="C545">
        <v>39</v>
      </c>
      <c r="D545" t="s">
        <v>33</v>
      </c>
      <c r="E545" t="s">
        <v>71</v>
      </c>
      <c r="F545" t="s">
        <v>62</v>
      </c>
      <c r="G545" t="s">
        <v>36</v>
      </c>
      <c r="H545" t="s">
        <v>89</v>
      </c>
      <c r="I545" t="s">
        <v>65</v>
      </c>
      <c r="J545" t="s">
        <v>1077</v>
      </c>
      <c r="K545">
        <v>2023</v>
      </c>
      <c r="L545">
        <v>1</v>
      </c>
      <c r="M545">
        <v>15</v>
      </c>
      <c r="N545" t="s">
        <v>29</v>
      </c>
      <c r="O545">
        <v>4</v>
      </c>
      <c r="P545">
        <v>5</v>
      </c>
      <c r="Q545" t="s">
        <v>31</v>
      </c>
      <c r="R545">
        <v>11</v>
      </c>
      <c r="S545">
        <v>10</v>
      </c>
      <c r="T545">
        <v>93665</v>
      </c>
      <c r="U545">
        <v>11400</v>
      </c>
      <c r="V545">
        <v>5</v>
      </c>
      <c r="W545" t="s">
        <v>31</v>
      </c>
    </row>
    <row r="546" spans="1:23" x14ac:dyDescent="0.3">
      <c r="A546" t="s">
        <v>1078</v>
      </c>
      <c r="B546" t="s">
        <v>2122</v>
      </c>
      <c r="C546">
        <v>40</v>
      </c>
      <c r="D546" t="s">
        <v>33</v>
      </c>
      <c r="E546" t="s">
        <v>71</v>
      </c>
      <c r="F546" t="s">
        <v>137</v>
      </c>
      <c r="G546" t="s">
        <v>43</v>
      </c>
      <c r="H546" t="s">
        <v>44</v>
      </c>
      <c r="I546" t="s">
        <v>27</v>
      </c>
      <c r="J546" t="s">
        <v>1079</v>
      </c>
      <c r="K546">
        <v>2023</v>
      </c>
      <c r="L546">
        <v>1</v>
      </c>
      <c r="M546">
        <v>11</v>
      </c>
      <c r="N546" t="s">
        <v>85</v>
      </c>
      <c r="O546">
        <v>3</v>
      </c>
      <c r="P546">
        <v>5</v>
      </c>
      <c r="Q546" t="s">
        <v>31</v>
      </c>
      <c r="R546">
        <v>23</v>
      </c>
      <c r="S546">
        <v>62</v>
      </c>
      <c r="T546">
        <v>73875</v>
      </c>
      <c r="U546">
        <v>15300</v>
      </c>
      <c r="V546">
        <v>10.5</v>
      </c>
      <c r="W546" t="s">
        <v>31</v>
      </c>
    </row>
    <row r="547" spans="1:23" x14ac:dyDescent="0.3">
      <c r="A547" t="s">
        <v>1080</v>
      </c>
      <c r="B547" t="s">
        <v>2123</v>
      </c>
      <c r="C547">
        <v>27</v>
      </c>
      <c r="D547" t="s">
        <v>41</v>
      </c>
      <c r="E547" t="s">
        <v>34</v>
      </c>
      <c r="F547" t="s">
        <v>153</v>
      </c>
      <c r="G547" t="s">
        <v>25</v>
      </c>
      <c r="H547" t="s">
        <v>205</v>
      </c>
      <c r="I547" t="s">
        <v>27</v>
      </c>
      <c r="J547" t="s">
        <v>1081</v>
      </c>
      <c r="K547">
        <v>2024</v>
      </c>
      <c r="L547">
        <v>0</v>
      </c>
      <c r="M547">
        <v>4</v>
      </c>
      <c r="N547" t="s">
        <v>39</v>
      </c>
      <c r="O547">
        <v>3</v>
      </c>
      <c r="P547">
        <v>2</v>
      </c>
      <c r="Q547" t="s">
        <v>31</v>
      </c>
      <c r="R547">
        <v>13</v>
      </c>
      <c r="S547">
        <v>76</v>
      </c>
      <c r="T547">
        <v>68848</v>
      </c>
      <c r="U547">
        <v>2100</v>
      </c>
      <c r="V547">
        <v>5.0999999999999996</v>
      </c>
      <c r="W547" t="s">
        <v>30</v>
      </c>
    </row>
    <row r="548" spans="1:23" x14ac:dyDescent="0.3">
      <c r="A548" t="s">
        <v>1082</v>
      </c>
      <c r="B548" t="s">
        <v>2124</v>
      </c>
      <c r="C548">
        <v>41</v>
      </c>
      <c r="D548" t="s">
        <v>41</v>
      </c>
      <c r="E548" t="s">
        <v>71</v>
      </c>
      <c r="F548" t="s">
        <v>35</v>
      </c>
      <c r="G548" t="s">
        <v>117</v>
      </c>
      <c r="H548" t="s">
        <v>184</v>
      </c>
      <c r="I548" t="s">
        <v>65</v>
      </c>
      <c r="J548" t="s">
        <v>1083</v>
      </c>
      <c r="K548">
        <v>2021</v>
      </c>
      <c r="L548">
        <v>3</v>
      </c>
      <c r="M548">
        <v>11</v>
      </c>
      <c r="N548" t="s">
        <v>29</v>
      </c>
      <c r="O548">
        <v>2</v>
      </c>
      <c r="P548">
        <v>4</v>
      </c>
      <c r="Q548" t="s">
        <v>31</v>
      </c>
      <c r="R548">
        <v>9</v>
      </c>
      <c r="S548">
        <v>0</v>
      </c>
      <c r="T548">
        <v>80701</v>
      </c>
      <c r="U548">
        <v>9300</v>
      </c>
      <c r="V548">
        <v>12.1</v>
      </c>
      <c r="W548" t="s">
        <v>31</v>
      </c>
    </row>
    <row r="549" spans="1:23" x14ac:dyDescent="0.3">
      <c r="A549" t="s">
        <v>1084</v>
      </c>
      <c r="B549" t="s">
        <v>1977</v>
      </c>
      <c r="C549">
        <v>42</v>
      </c>
      <c r="D549" t="s">
        <v>33</v>
      </c>
      <c r="E549" t="s">
        <v>34</v>
      </c>
      <c r="F549" t="s">
        <v>153</v>
      </c>
      <c r="G549" t="s">
        <v>43</v>
      </c>
      <c r="H549" t="s">
        <v>96</v>
      </c>
      <c r="I549" t="s">
        <v>65</v>
      </c>
      <c r="J549" t="s">
        <v>679</v>
      </c>
      <c r="K549">
        <v>2021</v>
      </c>
      <c r="L549">
        <v>3</v>
      </c>
      <c r="M549">
        <v>14</v>
      </c>
      <c r="N549" t="s">
        <v>29</v>
      </c>
      <c r="O549">
        <v>3</v>
      </c>
      <c r="P549">
        <v>5</v>
      </c>
      <c r="Q549" t="s">
        <v>31</v>
      </c>
      <c r="R549">
        <v>7</v>
      </c>
      <c r="S549">
        <v>21</v>
      </c>
      <c r="T549">
        <v>73806</v>
      </c>
      <c r="U549">
        <v>7600</v>
      </c>
      <c r="V549">
        <v>10.4</v>
      </c>
      <c r="W549" t="s">
        <v>31</v>
      </c>
    </row>
    <row r="550" spans="1:23" x14ac:dyDescent="0.3">
      <c r="A550" t="s">
        <v>1085</v>
      </c>
      <c r="B550" t="s">
        <v>1805</v>
      </c>
      <c r="C550">
        <v>31</v>
      </c>
      <c r="D550" t="s">
        <v>33</v>
      </c>
      <c r="E550" t="s">
        <v>71</v>
      </c>
      <c r="F550" t="s">
        <v>47</v>
      </c>
      <c r="G550" t="s">
        <v>25</v>
      </c>
      <c r="H550" t="s">
        <v>110</v>
      </c>
      <c r="I550" t="s">
        <v>27</v>
      </c>
      <c r="J550" t="s">
        <v>1086</v>
      </c>
      <c r="K550">
        <v>2024</v>
      </c>
      <c r="L550">
        <v>0</v>
      </c>
      <c r="M550">
        <v>7</v>
      </c>
      <c r="N550" t="s">
        <v>98</v>
      </c>
      <c r="O550">
        <v>1</v>
      </c>
      <c r="P550">
        <v>2</v>
      </c>
      <c r="Q550" t="s">
        <v>31</v>
      </c>
      <c r="R550">
        <v>18</v>
      </c>
      <c r="S550">
        <v>59</v>
      </c>
      <c r="T550">
        <v>102386</v>
      </c>
      <c r="U550">
        <v>6200</v>
      </c>
      <c r="V550">
        <v>14.2</v>
      </c>
      <c r="W550" t="s">
        <v>31</v>
      </c>
    </row>
    <row r="551" spans="1:23" x14ac:dyDescent="0.3">
      <c r="A551" t="s">
        <v>1087</v>
      </c>
      <c r="B551" t="s">
        <v>1976</v>
      </c>
      <c r="C551">
        <v>40</v>
      </c>
      <c r="D551" t="s">
        <v>41</v>
      </c>
      <c r="E551" t="s">
        <v>61</v>
      </c>
      <c r="F551" t="s">
        <v>137</v>
      </c>
      <c r="G551" t="s">
        <v>36</v>
      </c>
      <c r="H551" t="s">
        <v>89</v>
      </c>
      <c r="I551" t="s">
        <v>27</v>
      </c>
      <c r="J551" t="s">
        <v>1088</v>
      </c>
      <c r="K551">
        <v>2022</v>
      </c>
      <c r="L551">
        <v>2</v>
      </c>
      <c r="M551">
        <v>17</v>
      </c>
      <c r="N551" t="s">
        <v>98</v>
      </c>
      <c r="O551">
        <v>4</v>
      </c>
      <c r="P551">
        <v>5</v>
      </c>
      <c r="Q551" t="s">
        <v>30</v>
      </c>
      <c r="R551">
        <v>15</v>
      </c>
      <c r="S551">
        <v>49</v>
      </c>
      <c r="T551">
        <v>66709</v>
      </c>
      <c r="U551">
        <v>5400</v>
      </c>
      <c r="V551">
        <v>5.9</v>
      </c>
      <c r="W551" t="s">
        <v>31</v>
      </c>
    </row>
    <row r="552" spans="1:23" x14ac:dyDescent="0.3">
      <c r="A552" t="s">
        <v>1089</v>
      </c>
      <c r="B552" t="s">
        <v>1854</v>
      </c>
      <c r="C552">
        <v>50</v>
      </c>
      <c r="D552" t="s">
        <v>33</v>
      </c>
      <c r="E552" t="s">
        <v>71</v>
      </c>
      <c r="F552" t="s">
        <v>137</v>
      </c>
      <c r="G552" t="s">
        <v>25</v>
      </c>
      <c r="H552" t="s">
        <v>26</v>
      </c>
      <c r="I552" t="s">
        <v>27</v>
      </c>
      <c r="J552" t="s">
        <v>1090</v>
      </c>
      <c r="K552">
        <v>2021</v>
      </c>
      <c r="L552">
        <v>3</v>
      </c>
      <c r="M552">
        <v>20</v>
      </c>
      <c r="N552" t="s">
        <v>29</v>
      </c>
      <c r="O552">
        <v>5</v>
      </c>
      <c r="P552">
        <v>4</v>
      </c>
      <c r="Q552" t="s">
        <v>31</v>
      </c>
      <c r="R552">
        <v>13</v>
      </c>
      <c r="S552">
        <v>15</v>
      </c>
      <c r="T552">
        <v>83738</v>
      </c>
      <c r="U552">
        <v>11000</v>
      </c>
      <c r="V552">
        <v>6.5</v>
      </c>
      <c r="W552" t="s">
        <v>31</v>
      </c>
    </row>
    <row r="553" spans="1:23" x14ac:dyDescent="0.3">
      <c r="A553" t="s">
        <v>1091</v>
      </c>
      <c r="B553" t="s">
        <v>1811</v>
      </c>
      <c r="C553">
        <v>40</v>
      </c>
      <c r="D553" t="s">
        <v>41</v>
      </c>
      <c r="E553" t="s">
        <v>71</v>
      </c>
      <c r="F553" t="s">
        <v>57</v>
      </c>
      <c r="G553" t="s">
        <v>100</v>
      </c>
      <c r="H553" t="s">
        <v>150</v>
      </c>
      <c r="I553" t="s">
        <v>27</v>
      </c>
      <c r="J553" t="s">
        <v>201</v>
      </c>
      <c r="K553">
        <v>2021</v>
      </c>
      <c r="L553">
        <v>3</v>
      </c>
      <c r="M553">
        <v>12</v>
      </c>
      <c r="N553" t="s">
        <v>39</v>
      </c>
      <c r="O553">
        <v>4</v>
      </c>
      <c r="P553">
        <v>2</v>
      </c>
      <c r="Q553" t="s">
        <v>31</v>
      </c>
      <c r="R553">
        <v>24</v>
      </c>
      <c r="S553">
        <v>33</v>
      </c>
      <c r="T553">
        <v>49302</v>
      </c>
      <c r="U553">
        <v>1700</v>
      </c>
      <c r="V553">
        <v>5.5</v>
      </c>
      <c r="W553" t="s">
        <v>30</v>
      </c>
    </row>
    <row r="554" spans="1:23" x14ac:dyDescent="0.3">
      <c r="A554" t="s">
        <v>1092</v>
      </c>
      <c r="B554" t="s">
        <v>1909</v>
      </c>
      <c r="C554">
        <v>45</v>
      </c>
      <c r="D554" t="s">
        <v>41</v>
      </c>
      <c r="E554" t="s">
        <v>71</v>
      </c>
      <c r="F554" t="s">
        <v>47</v>
      </c>
      <c r="G554" t="s">
        <v>36</v>
      </c>
      <c r="H554" t="s">
        <v>68</v>
      </c>
      <c r="I554" t="s">
        <v>27</v>
      </c>
      <c r="J554" t="s">
        <v>1093</v>
      </c>
      <c r="K554">
        <v>2024</v>
      </c>
      <c r="L554">
        <v>0</v>
      </c>
      <c r="M554">
        <v>19</v>
      </c>
      <c r="N554" t="s">
        <v>85</v>
      </c>
      <c r="O554">
        <v>2</v>
      </c>
      <c r="P554">
        <v>5</v>
      </c>
      <c r="Q554" t="s">
        <v>31</v>
      </c>
      <c r="R554">
        <v>20</v>
      </c>
      <c r="S554">
        <v>39</v>
      </c>
      <c r="T554">
        <v>94894</v>
      </c>
      <c r="U554">
        <v>19100</v>
      </c>
      <c r="V554">
        <v>3.3</v>
      </c>
      <c r="W554" t="s">
        <v>31</v>
      </c>
    </row>
    <row r="555" spans="1:23" x14ac:dyDescent="0.3">
      <c r="A555" t="s">
        <v>1094</v>
      </c>
      <c r="B555" t="s">
        <v>2125</v>
      </c>
      <c r="C555">
        <v>29</v>
      </c>
      <c r="D555" t="s">
        <v>33</v>
      </c>
      <c r="E555" t="s">
        <v>71</v>
      </c>
      <c r="F555" t="s">
        <v>137</v>
      </c>
      <c r="G555" t="s">
        <v>52</v>
      </c>
      <c r="H555" t="s">
        <v>320</v>
      </c>
      <c r="I555" t="s">
        <v>27</v>
      </c>
      <c r="J555" t="s">
        <v>1074</v>
      </c>
      <c r="K555">
        <v>2022</v>
      </c>
      <c r="L555">
        <v>2</v>
      </c>
      <c r="M555">
        <v>5</v>
      </c>
      <c r="N555" t="s">
        <v>29</v>
      </c>
      <c r="O555">
        <v>5</v>
      </c>
      <c r="P555">
        <v>5</v>
      </c>
      <c r="Q555" t="s">
        <v>30</v>
      </c>
      <c r="R555">
        <v>12</v>
      </c>
      <c r="S555">
        <v>61</v>
      </c>
      <c r="T555">
        <v>70180</v>
      </c>
      <c r="U555">
        <v>7500</v>
      </c>
      <c r="V555">
        <v>13.2</v>
      </c>
      <c r="W555" t="s">
        <v>31</v>
      </c>
    </row>
    <row r="556" spans="1:23" x14ac:dyDescent="0.3">
      <c r="A556" t="s">
        <v>1095</v>
      </c>
      <c r="B556" t="s">
        <v>2126</v>
      </c>
      <c r="C556">
        <v>42</v>
      </c>
      <c r="D556" t="s">
        <v>22</v>
      </c>
      <c r="E556" t="s">
        <v>71</v>
      </c>
      <c r="F556" t="s">
        <v>24</v>
      </c>
      <c r="G556" t="s">
        <v>63</v>
      </c>
      <c r="H556" t="s">
        <v>64</v>
      </c>
      <c r="I556" t="s">
        <v>27</v>
      </c>
      <c r="J556" t="s">
        <v>1096</v>
      </c>
      <c r="K556">
        <v>2023</v>
      </c>
      <c r="L556">
        <v>1</v>
      </c>
      <c r="M556">
        <v>13</v>
      </c>
      <c r="N556" t="s">
        <v>29</v>
      </c>
      <c r="O556">
        <v>2</v>
      </c>
      <c r="P556">
        <v>2</v>
      </c>
      <c r="Q556" t="s">
        <v>31</v>
      </c>
      <c r="R556">
        <v>4</v>
      </c>
      <c r="S556">
        <v>35</v>
      </c>
      <c r="T556">
        <v>63533</v>
      </c>
      <c r="U556">
        <v>6600</v>
      </c>
      <c r="V556">
        <v>13.8</v>
      </c>
      <c r="W556" t="s">
        <v>30</v>
      </c>
    </row>
    <row r="557" spans="1:23" x14ac:dyDescent="0.3">
      <c r="A557" t="s">
        <v>1097</v>
      </c>
      <c r="B557" t="s">
        <v>2106</v>
      </c>
      <c r="C557">
        <v>31</v>
      </c>
      <c r="D557" t="s">
        <v>33</v>
      </c>
      <c r="E557" t="s">
        <v>56</v>
      </c>
      <c r="F557" t="s">
        <v>47</v>
      </c>
      <c r="G557" t="s">
        <v>100</v>
      </c>
      <c r="H557" t="s">
        <v>150</v>
      </c>
      <c r="I557" t="s">
        <v>27</v>
      </c>
      <c r="J557" t="s">
        <v>1098</v>
      </c>
      <c r="K557">
        <v>2024</v>
      </c>
      <c r="L557">
        <v>0</v>
      </c>
      <c r="M557">
        <v>1</v>
      </c>
      <c r="N557" t="s">
        <v>29</v>
      </c>
      <c r="O557">
        <v>5</v>
      </c>
      <c r="P557">
        <v>5</v>
      </c>
      <c r="Q557" t="s">
        <v>31</v>
      </c>
      <c r="R557">
        <v>2</v>
      </c>
      <c r="S557">
        <v>7</v>
      </c>
      <c r="T557">
        <v>53273</v>
      </c>
      <c r="U557">
        <v>5200</v>
      </c>
      <c r="V557">
        <v>10.5</v>
      </c>
      <c r="W557" t="s">
        <v>31</v>
      </c>
    </row>
    <row r="558" spans="1:23" x14ac:dyDescent="0.3">
      <c r="A558" t="s">
        <v>1099</v>
      </c>
      <c r="B558" t="s">
        <v>2127</v>
      </c>
      <c r="C558">
        <v>33</v>
      </c>
      <c r="D558" t="s">
        <v>33</v>
      </c>
      <c r="E558" t="s">
        <v>71</v>
      </c>
      <c r="F558" t="s">
        <v>57</v>
      </c>
      <c r="G558" t="s">
        <v>36</v>
      </c>
      <c r="H558" t="s">
        <v>89</v>
      </c>
      <c r="I558" t="s">
        <v>65</v>
      </c>
      <c r="J558" t="s">
        <v>1100</v>
      </c>
      <c r="K558">
        <v>2023</v>
      </c>
      <c r="L558">
        <v>1</v>
      </c>
      <c r="M558">
        <v>8</v>
      </c>
      <c r="N558" t="s">
        <v>85</v>
      </c>
      <c r="O558">
        <v>2</v>
      </c>
      <c r="P558">
        <v>5</v>
      </c>
      <c r="Q558" t="s">
        <v>31</v>
      </c>
      <c r="R558">
        <v>9</v>
      </c>
      <c r="S558">
        <v>7</v>
      </c>
      <c r="T558">
        <v>74888</v>
      </c>
      <c r="U558">
        <v>17800</v>
      </c>
      <c r="V558">
        <v>6.2</v>
      </c>
      <c r="W558" t="s">
        <v>31</v>
      </c>
    </row>
    <row r="559" spans="1:23" x14ac:dyDescent="0.3">
      <c r="A559" t="s">
        <v>1101</v>
      </c>
      <c r="B559" t="s">
        <v>1897</v>
      </c>
      <c r="C559">
        <v>40</v>
      </c>
      <c r="D559" t="s">
        <v>41</v>
      </c>
      <c r="E559" t="s">
        <v>34</v>
      </c>
      <c r="F559" t="s">
        <v>62</v>
      </c>
      <c r="G559" t="s">
        <v>117</v>
      </c>
      <c r="H559" t="s">
        <v>198</v>
      </c>
      <c r="I559" t="s">
        <v>27</v>
      </c>
      <c r="J559" t="s">
        <v>1102</v>
      </c>
      <c r="K559">
        <v>2024</v>
      </c>
      <c r="L559">
        <v>0</v>
      </c>
      <c r="M559">
        <v>18</v>
      </c>
      <c r="N559" t="s">
        <v>85</v>
      </c>
      <c r="O559">
        <v>4</v>
      </c>
      <c r="P559">
        <v>3</v>
      </c>
      <c r="Q559" t="s">
        <v>30</v>
      </c>
      <c r="R559">
        <v>18</v>
      </c>
      <c r="S559">
        <v>1</v>
      </c>
      <c r="T559">
        <v>96543</v>
      </c>
      <c r="U559">
        <v>19100</v>
      </c>
      <c r="V559">
        <v>8.3000000000000007</v>
      </c>
      <c r="W559" t="s">
        <v>31</v>
      </c>
    </row>
    <row r="560" spans="1:23" x14ac:dyDescent="0.3">
      <c r="A560" t="s">
        <v>1103</v>
      </c>
      <c r="B560" t="s">
        <v>1959</v>
      </c>
      <c r="C560">
        <v>48</v>
      </c>
      <c r="D560" t="s">
        <v>33</v>
      </c>
      <c r="E560" t="s">
        <v>23</v>
      </c>
      <c r="F560" t="s">
        <v>42</v>
      </c>
      <c r="G560" t="s">
        <v>52</v>
      </c>
      <c r="H560" t="s">
        <v>320</v>
      </c>
      <c r="I560" t="s">
        <v>27</v>
      </c>
      <c r="J560" t="s">
        <v>1104</v>
      </c>
      <c r="K560">
        <v>2024</v>
      </c>
      <c r="L560">
        <v>0</v>
      </c>
      <c r="M560">
        <v>19</v>
      </c>
      <c r="N560" t="s">
        <v>98</v>
      </c>
      <c r="O560">
        <v>3</v>
      </c>
      <c r="P560">
        <v>3</v>
      </c>
      <c r="Q560" t="s">
        <v>31</v>
      </c>
      <c r="R560">
        <v>17</v>
      </c>
      <c r="S560">
        <v>31</v>
      </c>
      <c r="T560">
        <v>61498</v>
      </c>
      <c r="U560">
        <v>4500</v>
      </c>
      <c r="V560">
        <v>8.9</v>
      </c>
      <c r="W560" t="s">
        <v>31</v>
      </c>
    </row>
    <row r="561" spans="1:23" x14ac:dyDescent="0.3">
      <c r="A561" t="s">
        <v>1105</v>
      </c>
      <c r="B561" t="s">
        <v>2128</v>
      </c>
      <c r="C561">
        <v>28</v>
      </c>
      <c r="D561" t="s">
        <v>41</v>
      </c>
      <c r="E561" t="s">
        <v>71</v>
      </c>
      <c r="F561" t="s">
        <v>47</v>
      </c>
      <c r="G561" t="s">
        <v>43</v>
      </c>
      <c r="H561" t="s">
        <v>96</v>
      </c>
      <c r="I561" t="s">
        <v>27</v>
      </c>
      <c r="J561" t="s">
        <v>1106</v>
      </c>
      <c r="K561">
        <v>2023</v>
      </c>
      <c r="L561">
        <v>1</v>
      </c>
      <c r="M561">
        <v>4</v>
      </c>
      <c r="N561" t="s">
        <v>98</v>
      </c>
      <c r="O561">
        <v>4</v>
      </c>
      <c r="P561">
        <v>3</v>
      </c>
      <c r="Q561" t="s">
        <v>31</v>
      </c>
      <c r="R561">
        <v>20</v>
      </c>
      <c r="S561">
        <v>68</v>
      </c>
      <c r="T561">
        <v>111839</v>
      </c>
      <c r="U561">
        <v>7900</v>
      </c>
      <c r="V561">
        <v>8.9</v>
      </c>
      <c r="W561" t="s">
        <v>31</v>
      </c>
    </row>
    <row r="562" spans="1:23" x14ac:dyDescent="0.3">
      <c r="A562" t="s">
        <v>1107</v>
      </c>
      <c r="B562" t="s">
        <v>1884</v>
      </c>
      <c r="C562">
        <v>43</v>
      </c>
      <c r="D562" t="s">
        <v>41</v>
      </c>
      <c r="E562" t="s">
        <v>34</v>
      </c>
      <c r="F562" t="s">
        <v>24</v>
      </c>
      <c r="G562" t="s">
        <v>43</v>
      </c>
      <c r="H562" t="s">
        <v>44</v>
      </c>
      <c r="I562" t="s">
        <v>27</v>
      </c>
      <c r="J562" t="s">
        <v>1108</v>
      </c>
      <c r="K562">
        <v>2022</v>
      </c>
      <c r="L562">
        <v>2</v>
      </c>
      <c r="M562">
        <v>17</v>
      </c>
      <c r="N562" t="s">
        <v>29</v>
      </c>
      <c r="O562">
        <v>4</v>
      </c>
      <c r="P562">
        <v>2</v>
      </c>
      <c r="Q562" t="s">
        <v>31</v>
      </c>
      <c r="R562">
        <v>5</v>
      </c>
      <c r="S562">
        <v>78</v>
      </c>
      <c r="T562">
        <v>139520</v>
      </c>
      <c r="U562">
        <v>18000</v>
      </c>
      <c r="V562">
        <v>14.1</v>
      </c>
      <c r="W562" t="s">
        <v>31</v>
      </c>
    </row>
    <row r="563" spans="1:23" x14ac:dyDescent="0.3">
      <c r="A563" t="s">
        <v>1109</v>
      </c>
      <c r="B563" t="s">
        <v>2129</v>
      </c>
      <c r="C563">
        <v>34</v>
      </c>
      <c r="D563" t="s">
        <v>41</v>
      </c>
      <c r="E563" t="s">
        <v>71</v>
      </c>
      <c r="F563" t="s">
        <v>47</v>
      </c>
      <c r="G563" t="s">
        <v>43</v>
      </c>
      <c r="H563" t="s">
        <v>44</v>
      </c>
      <c r="I563" t="s">
        <v>27</v>
      </c>
      <c r="J563" t="s">
        <v>1093</v>
      </c>
      <c r="K563">
        <v>2024</v>
      </c>
      <c r="L563">
        <v>0</v>
      </c>
      <c r="M563">
        <v>8</v>
      </c>
      <c r="N563" t="s">
        <v>29</v>
      </c>
      <c r="O563">
        <v>4</v>
      </c>
      <c r="P563">
        <v>4</v>
      </c>
      <c r="Q563" t="s">
        <v>31</v>
      </c>
      <c r="R563">
        <v>0</v>
      </c>
      <c r="S563">
        <v>51</v>
      </c>
      <c r="T563">
        <v>109795</v>
      </c>
      <c r="U563">
        <v>12200</v>
      </c>
      <c r="V563">
        <v>11.7</v>
      </c>
      <c r="W563" t="s">
        <v>31</v>
      </c>
    </row>
    <row r="564" spans="1:23" x14ac:dyDescent="0.3">
      <c r="A564" t="s">
        <v>1110</v>
      </c>
      <c r="B564" t="s">
        <v>1825</v>
      </c>
      <c r="C564">
        <v>31</v>
      </c>
      <c r="D564" t="s">
        <v>22</v>
      </c>
      <c r="E564" t="s">
        <v>61</v>
      </c>
      <c r="F564" t="s">
        <v>153</v>
      </c>
      <c r="G564" t="s">
        <v>82</v>
      </c>
      <c r="H564" t="s">
        <v>286</v>
      </c>
      <c r="I564" t="s">
        <v>27</v>
      </c>
      <c r="J564" t="s">
        <v>565</v>
      </c>
      <c r="K564">
        <v>2022</v>
      </c>
      <c r="L564">
        <v>2</v>
      </c>
      <c r="M564">
        <v>9</v>
      </c>
      <c r="N564" t="s">
        <v>29</v>
      </c>
      <c r="O564">
        <v>5</v>
      </c>
      <c r="P564">
        <v>2</v>
      </c>
      <c r="Q564" t="s">
        <v>31</v>
      </c>
      <c r="R564">
        <v>6</v>
      </c>
      <c r="S564">
        <v>79</v>
      </c>
      <c r="T564">
        <v>58252</v>
      </c>
      <c r="U564">
        <v>7600</v>
      </c>
      <c r="V564">
        <v>6.5</v>
      </c>
      <c r="W564" t="s">
        <v>31</v>
      </c>
    </row>
    <row r="565" spans="1:23" x14ac:dyDescent="0.3">
      <c r="A565" t="s">
        <v>1111</v>
      </c>
      <c r="B565" t="s">
        <v>2130</v>
      </c>
      <c r="C565">
        <v>45</v>
      </c>
      <c r="D565" t="s">
        <v>33</v>
      </c>
      <c r="E565" t="s">
        <v>23</v>
      </c>
      <c r="F565" t="s">
        <v>62</v>
      </c>
      <c r="G565" t="s">
        <v>43</v>
      </c>
      <c r="H565" t="s">
        <v>48</v>
      </c>
      <c r="I565" t="s">
        <v>27</v>
      </c>
      <c r="J565" t="s">
        <v>1112</v>
      </c>
      <c r="K565">
        <v>2022</v>
      </c>
      <c r="L565">
        <v>2</v>
      </c>
      <c r="M565">
        <v>16</v>
      </c>
      <c r="N565" t="s">
        <v>98</v>
      </c>
      <c r="O565">
        <v>1</v>
      </c>
      <c r="P565">
        <v>1</v>
      </c>
      <c r="Q565" t="s">
        <v>30</v>
      </c>
      <c r="R565">
        <v>1</v>
      </c>
      <c r="S565">
        <v>43</v>
      </c>
      <c r="T565">
        <v>76029</v>
      </c>
      <c r="U565">
        <v>5100</v>
      </c>
      <c r="V565">
        <v>14.5</v>
      </c>
      <c r="W565" t="s">
        <v>31</v>
      </c>
    </row>
    <row r="566" spans="1:23" x14ac:dyDescent="0.3">
      <c r="A566" t="s">
        <v>1113</v>
      </c>
      <c r="B566" t="s">
        <v>2131</v>
      </c>
      <c r="C566">
        <v>28</v>
      </c>
      <c r="D566" t="s">
        <v>33</v>
      </c>
      <c r="E566" t="s">
        <v>34</v>
      </c>
      <c r="F566" t="s">
        <v>51</v>
      </c>
      <c r="G566" t="s">
        <v>52</v>
      </c>
      <c r="H566" t="s">
        <v>208</v>
      </c>
      <c r="I566" t="s">
        <v>27</v>
      </c>
      <c r="J566" t="s">
        <v>1114</v>
      </c>
      <c r="K566">
        <v>2023</v>
      </c>
      <c r="L566">
        <v>1</v>
      </c>
      <c r="M566">
        <v>5</v>
      </c>
      <c r="N566" t="s">
        <v>98</v>
      </c>
      <c r="O566">
        <v>5</v>
      </c>
      <c r="P566">
        <v>5</v>
      </c>
      <c r="Q566" t="s">
        <v>31</v>
      </c>
      <c r="R566">
        <v>24</v>
      </c>
      <c r="S566">
        <v>33</v>
      </c>
      <c r="T566">
        <v>72117</v>
      </c>
      <c r="U566">
        <v>5800</v>
      </c>
      <c r="V566">
        <v>10.1</v>
      </c>
      <c r="W566" t="s">
        <v>31</v>
      </c>
    </row>
    <row r="567" spans="1:23" x14ac:dyDescent="0.3">
      <c r="A567" t="s">
        <v>1115</v>
      </c>
      <c r="B567" t="s">
        <v>1876</v>
      </c>
      <c r="C567">
        <v>38</v>
      </c>
      <c r="D567" t="s">
        <v>33</v>
      </c>
      <c r="E567" t="s">
        <v>56</v>
      </c>
      <c r="F567" t="s">
        <v>75</v>
      </c>
      <c r="G567" t="s">
        <v>52</v>
      </c>
      <c r="H567" t="s">
        <v>208</v>
      </c>
      <c r="I567" t="s">
        <v>27</v>
      </c>
      <c r="J567" t="s">
        <v>1010</v>
      </c>
      <c r="K567">
        <v>2021</v>
      </c>
      <c r="L567">
        <v>3</v>
      </c>
      <c r="M567">
        <v>11</v>
      </c>
      <c r="N567" t="s">
        <v>98</v>
      </c>
      <c r="O567">
        <v>3</v>
      </c>
      <c r="P567">
        <v>3</v>
      </c>
      <c r="Q567" t="s">
        <v>31</v>
      </c>
      <c r="R567">
        <v>19</v>
      </c>
      <c r="S567">
        <v>2</v>
      </c>
      <c r="T567">
        <v>74218</v>
      </c>
      <c r="U567">
        <v>4600</v>
      </c>
      <c r="V567">
        <v>6.9</v>
      </c>
      <c r="W567" t="s">
        <v>31</v>
      </c>
    </row>
    <row r="568" spans="1:23" x14ac:dyDescent="0.3">
      <c r="A568" t="s">
        <v>1116</v>
      </c>
      <c r="B568" t="s">
        <v>1919</v>
      </c>
      <c r="C568">
        <v>32</v>
      </c>
      <c r="D568" t="s">
        <v>41</v>
      </c>
      <c r="E568" t="s">
        <v>34</v>
      </c>
      <c r="F568" t="s">
        <v>24</v>
      </c>
      <c r="G568" t="s">
        <v>36</v>
      </c>
      <c r="H568" t="s">
        <v>37</v>
      </c>
      <c r="I568" t="s">
        <v>27</v>
      </c>
      <c r="J568" t="s">
        <v>529</v>
      </c>
      <c r="K568">
        <v>2024</v>
      </c>
      <c r="L568">
        <v>0</v>
      </c>
      <c r="M568">
        <v>2</v>
      </c>
      <c r="N568" t="s">
        <v>29</v>
      </c>
      <c r="O568">
        <v>4</v>
      </c>
      <c r="P568">
        <v>3</v>
      </c>
      <c r="Q568" t="s">
        <v>31</v>
      </c>
      <c r="R568">
        <v>18</v>
      </c>
      <c r="S568">
        <v>42</v>
      </c>
      <c r="T568">
        <v>78571</v>
      </c>
      <c r="U568">
        <v>9700</v>
      </c>
      <c r="V568">
        <v>14.9</v>
      </c>
      <c r="W568" t="s">
        <v>31</v>
      </c>
    </row>
    <row r="569" spans="1:23" x14ac:dyDescent="0.3">
      <c r="A569" t="s">
        <v>1117</v>
      </c>
      <c r="B569" t="s">
        <v>2132</v>
      </c>
      <c r="C569">
        <v>40</v>
      </c>
      <c r="D569" t="s">
        <v>33</v>
      </c>
      <c r="E569" t="s">
        <v>71</v>
      </c>
      <c r="F569" t="s">
        <v>47</v>
      </c>
      <c r="G569" t="s">
        <v>117</v>
      </c>
      <c r="H569" t="s">
        <v>298</v>
      </c>
      <c r="I569" t="s">
        <v>27</v>
      </c>
      <c r="J569" t="s">
        <v>1026</v>
      </c>
      <c r="K569">
        <v>2021</v>
      </c>
      <c r="L569">
        <v>3</v>
      </c>
      <c r="M569">
        <v>17</v>
      </c>
      <c r="N569" t="s">
        <v>29</v>
      </c>
      <c r="O569">
        <v>2</v>
      </c>
      <c r="P569">
        <v>3</v>
      </c>
      <c r="Q569" t="s">
        <v>31</v>
      </c>
      <c r="R569">
        <v>2</v>
      </c>
      <c r="S569">
        <v>23</v>
      </c>
      <c r="T569">
        <v>85700</v>
      </c>
      <c r="U569">
        <v>12300</v>
      </c>
      <c r="V569">
        <v>12</v>
      </c>
      <c r="W569" t="s">
        <v>31</v>
      </c>
    </row>
    <row r="570" spans="1:23" x14ac:dyDescent="0.3">
      <c r="A570" t="s">
        <v>1118</v>
      </c>
      <c r="B570" t="s">
        <v>2133</v>
      </c>
      <c r="C570">
        <v>45</v>
      </c>
      <c r="D570" t="s">
        <v>41</v>
      </c>
      <c r="E570" t="s">
        <v>34</v>
      </c>
      <c r="F570" t="s">
        <v>62</v>
      </c>
      <c r="G570" t="s">
        <v>25</v>
      </c>
      <c r="H570" t="s">
        <v>58</v>
      </c>
      <c r="I570" t="s">
        <v>27</v>
      </c>
      <c r="J570" t="s">
        <v>976</v>
      </c>
      <c r="K570">
        <v>2024</v>
      </c>
      <c r="L570">
        <v>0</v>
      </c>
      <c r="M570">
        <v>19</v>
      </c>
      <c r="N570" t="s">
        <v>29</v>
      </c>
      <c r="O570">
        <v>3</v>
      </c>
      <c r="P570">
        <v>5</v>
      </c>
      <c r="Q570" t="s">
        <v>31</v>
      </c>
      <c r="R570">
        <v>14</v>
      </c>
      <c r="S570">
        <v>25</v>
      </c>
      <c r="T570">
        <v>109278</v>
      </c>
      <c r="U570">
        <v>10500</v>
      </c>
      <c r="V570">
        <v>6.9</v>
      </c>
      <c r="W570" t="s">
        <v>31</v>
      </c>
    </row>
    <row r="571" spans="1:23" x14ac:dyDescent="0.3">
      <c r="A571" t="s">
        <v>1119</v>
      </c>
      <c r="B571" t="s">
        <v>1933</v>
      </c>
      <c r="C571">
        <v>30</v>
      </c>
      <c r="D571" t="s">
        <v>33</v>
      </c>
      <c r="E571" t="s">
        <v>34</v>
      </c>
      <c r="F571" t="s">
        <v>57</v>
      </c>
      <c r="G571" t="s">
        <v>52</v>
      </c>
      <c r="H571" t="s">
        <v>208</v>
      </c>
      <c r="I571" t="s">
        <v>27</v>
      </c>
      <c r="J571" t="s">
        <v>1120</v>
      </c>
      <c r="K571">
        <v>2022</v>
      </c>
      <c r="L571">
        <v>2</v>
      </c>
      <c r="M571">
        <v>5</v>
      </c>
      <c r="N571" t="s">
        <v>85</v>
      </c>
      <c r="O571">
        <v>3</v>
      </c>
      <c r="P571">
        <v>2</v>
      </c>
      <c r="Q571" t="s">
        <v>31</v>
      </c>
      <c r="R571">
        <v>21</v>
      </c>
      <c r="S571">
        <v>26</v>
      </c>
      <c r="T571">
        <v>51612</v>
      </c>
      <c r="U571">
        <v>10700</v>
      </c>
      <c r="V571">
        <v>13.1</v>
      </c>
      <c r="W571" t="s">
        <v>31</v>
      </c>
    </row>
    <row r="572" spans="1:23" x14ac:dyDescent="0.3">
      <c r="A572" t="s">
        <v>1121</v>
      </c>
      <c r="B572" t="s">
        <v>2116</v>
      </c>
      <c r="C572">
        <v>34</v>
      </c>
      <c r="D572" t="s">
        <v>41</v>
      </c>
      <c r="E572" t="s">
        <v>34</v>
      </c>
      <c r="F572" t="s">
        <v>75</v>
      </c>
      <c r="G572" t="s">
        <v>25</v>
      </c>
      <c r="H572" t="s">
        <v>205</v>
      </c>
      <c r="I572" t="s">
        <v>27</v>
      </c>
      <c r="J572" t="s">
        <v>1120</v>
      </c>
      <c r="K572">
        <v>2022</v>
      </c>
      <c r="L572">
        <v>2</v>
      </c>
      <c r="M572">
        <v>12</v>
      </c>
      <c r="N572" t="s">
        <v>85</v>
      </c>
      <c r="O572">
        <v>4</v>
      </c>
      <c r="P572">
        <v>4</v>
      </c>
      <c r="Q572" t="s">
        <v>31</v>
      </c>
      <c r="R572">
        <v>12</v>
      </c>
      <c r="S572">
        <v>25</v>
      </c>
      <c r="T572">
        <v>83812</v>
      </c>
      <c r="U572">
        <v>19800</v>
      </c>
      <c r="V572">
        <v>3.3</v>
      </c>
      <c r="W572" t="s">
        <v>31</v>
      </c>
    </row>
    <row r="573" spans="1:23" x14ac:dyDescent="0.3">
      <c r="A573" t="s">
        <v>1122</v>
      </c>
      <c r="B573" t="s">
        <v>2134</v>
      </c>
      <c r="C573">
        <v>47</v>
      </c>
      <c r="D573" t="s">
        <v>33</v>
      </c>
      <c r="E573" t="s">
        <v>34</v>
      </c>
      <c r="F573" t="s">
        <v>75</v>
      </c>
      <c r="G573" t="s">
        <v>43</v>
      </c>
      <c r="H573" t="s">
        <v>44</v>
      </c>
      <c r="I573" t="s">
        <v>27</v>
      </c>
      <c r="J573" t="s">
        <v>428</v>
      </c>
      <c r="K573">
        <v>2021</v>
      </c>
      <c r="L573">
        <v>3</v>
      </c>
      <c r="M573">
        <v>17</v>
      </c>
      <c r="N573" t="s">
        <v>85</v>
      </c>
      <c r="O573">
        <v>1</v>
      </c>
      <c r="P573">
        <v>5</v>
      </c>
      <c r="Q573" t="s">
        <v>31</v>
      </c>
      <c r="R573">
        <v>11</v>
      </c>
      <c r="S573">
        <v>61</v>
      </c>
      <c r="T573">
        <v>97477</v>
      </c>
      <c r="U573">
        <v>19400</v>
      </c>
      <c r="V573">
        <v>10.3</v>
      </c>
      <c r="W573" t="s">
        <v>31</v>
      </c>
    </row>
    <row r="574" spans="1:23" x14ac:dyDescent="0.3">
      <c r="A574" t="s">
        <v>1123</v>
      </c>
      <c r="B574" t="s">
        <v>1820</v>
      </c>
      <c r="C574">
        <v>42</v>
      </c>
      <c r="D574" t="s">
        <v>41</v>
      </c>
      <c r="E574" t="s">
        <v>23</v>
      </c>
      <c r="F574" t="s">
        <v>47</v>
      </c>
      <c r="G574" t="s">
        <v>52</v>
      </c>
      <c r="H574" t="s">
        <v>208</v>
      </c>
      <c r="I574" t="s">
        <v>27</v>
      </c>
      <c r="J574" t="s">
        <v>166</v>
      </c>
      <c r="K574">
        <v>2021</v>
      </c>
      <c r="L574">
        <v>3</v>
      </c>
      <c r="M574">
        <v>14</v>
      </c>
      <c r="N574" t="s">
        <v>29</v>
      </c>
      <c r="O574">
        <v>1</v>
      </c>
      <c r="P574">
        <v>4</v>
      </c>
      <c r="Q574" t="s">
        <v>31</v>
      </c>
      <c r="R574">
        <v>15</v>
      </c>
      <c r="S574">
        <v>2</v>
      </c>
      <c r="T574">
        <v>51557</v>
      </c>
      <c r="U574">
        <v>7300</v>
      </c>
      <c r="V574">
        <v>13</v>
      </c>
      <c r="W574" t="s">
        <v>31</v>
      </c>
    </row>
    <row r="575" spans="1:23" x14ac:dyDescent="0.3">
      <c r="A575" t="s">
        <v>1124</v>
      </c>
      <c r="B575" t="s">
        <v>1817</v>
      </c>
      <c r="C575">
        <v>32</v>
      </c>
      <c r="D575" t="s">
        <v>33</v>
      </c>
      <c r="E575" t="s">
        <v>71</v>
      </c>
      <c r="F575" t="s">
        <v>75</v>
      </c>
      <c r="G575" t="s">
        <v>117</v>
      </c>
      <c r="H575" t="s">
        <v>184</v>
      </c>
      <c r="I575" t="s">
        <v>79</v>
      </c>
      <c r="J575" t="s">
        <v>203</v>
      </c>
      <c r="K575">
        <v>2021</v>
      </c>
      <c r="L575">
        <v>3</v>
      </c>
      <c r="M575">
        <v>8</v>
      </c>
      <c r="N575" t="s">
        <v>29</v>
      </c>
      <c r="O575">
        <v>3</v>
      </c>
      <c r="P575">
        <v>3</v>
      </c>
      <c r="Q575" t="s">
        <v>31</v>
      </c>
      <c r="R575">
        <v>19</v>
      </c>
      <c r="S575">
        <v>53</v>
      </c>
      <c r="T575">
        <v>63385</v>
      </c>
      <c r="U575">
        <v>6500</v>
      </c>
      <c r="V575">
        <v>8.6</v>
      </c>
      <c r="W575" t="s">
        <v>30</v>
      </c>
    </row>
    <row r="576" spans="1:23" x14ac:dyDescent="0.3">
      <c r="A576" t="s">
        <v>1125</v>
      </c>
      <c r="B576" t="s">
        <v>1930</v>
      </c>
      <c r="C576">
        <v>33</v>
      </c>
      <c r="D576" t="s">
        <v>41</v>
      </c>
      <c r="E576" t="s">
        <v>56</v>
      </c>
      <c r="F576" t="s">
        <v>47</v>
      </c>
      <c r="G576" t="s">
        <v>43</v>
      </c>
      <c r="H576" t="s">
        <v>44</v>
      </c>
      <c r="I576" t="s">
        <v>27</v>
      </c>
      <c r="J576" t="s">
        <v>1074</v>
      </c>
      <c r="K576">
        <v>2022</v>
      </c>
      <c r="L576">
        <v>2</v>
      </c>
      <c r="M576">
        <v>6</v>
      </c>
      <c r="N576" t="s">
        <v>98</v>
      </c>
      <c r="O576">
        <v>1</v>
      </c>
      <c r="P576">
        <v>1</v>
      </c>
      <c r="Q576" t="s">
        <v>31</v>
      </c>
      <c r="R576">
        <v>10</v>
      </c>
      <c r="S576">
        <v>3</v>
      </c>
      <c r="T576">
        <v>84338</v>
      </c>
      <c r="U576">
        <v>4800</v>
      </c>
      <c r="V576">
        <v>5.4</v>
      </c>
      <c r="W576" t="s">
        <v>31</v>
      </c>
    </row>
    <row r="577" spans="1:23" x14ac:dyDescent="0.3">
      <c r="A577" t="s">
        <v>1126</v>
      </c>
      <c r="B577" t="s">
        <v>1839</v>
      </c>
      <c r="C577">
        <v>43</v>
      </c>
      <c r="D577" t="s">
        <v>41</v>
      </c>
      <c r="E577" t="s">
        <v>34</v>
      </c>
      <c r="F577" t="s">
        <v>51</v>
      </c>
      <c r="G577" t="s">
        <v>52</v>
      </c>
      <c r="H577" t="s">
        <v>320</v>
      </c>
      <c r="I577" t="s">
        <v>27</v>
      </c>
      <c r="J577" t="s">
        <v>1127</v>
      </c>
      <c r="K577">
        <v>2024</v>
      </c>
      <c r="L577">
        <v>0</v>
      </c>
      <c r="M577">
        <v>13</v>
      </c>
      <c r="N577" t="s">
        <v>85</v>
      </c>
      <c r="O577">
        <v>4</v>
      </c>
      <c r="P577">
        <v>5</v>
      </c>
      <c r="Q577" t="s">
        <v>30</v>
      </c>
      <c r="R577">
        <v>14</v>
      </c>
      <c r="S577">
        <v>17</v>
      </c>
      <c r="T577">
        <v>51561</v>
      </c>
      <c r="U577">
        <v>12000</v>
      </c>
      <c r="V577">
        <v>4.0999999999999996</v>
      </c>
      <c r="W577" t="s">
        <v>31</v>
      </c>
    </row>
    <row r="578" spans="1:23" x14ac:dyDescent="0.3">
      <c r="A578" t="s">
        <v>1128</v>
      </c>
      <c r="B578" t="s">
        <v>1896</v>
      </c>
      <c r="C578">
        <v>45</v>
      </c>
      <c r="D578" t="s">
        <v>41</v>
      </c>
      <c r="E578" t="s">
        <v>23</v>
      </c>
      <c r="F578" t="s">
        <v>75</v>
      </c>
      <c r="G578" t="s">
        <v>82</v>
      </c>
      <c r="H578" t="s">
        <v>286</v>
      </c>
      <c r="I578" t="s">
        <v>27</v>
      </c>
      <c r="J578" t="s">
        <v>1129</v>
      </c>
      <c r="K578">
        <v>2023</v>
      </c>
      <c r="L578">
        <v>1</v>
      </c>
      <c r="M578">
        <v>18</v>
      </c>
      <c r="N578" t="s">
        <v>98</v>
      </c>
      <c r="O578">
        <v>2</v>
      </c>
      <c r="P578">
        <v>2</v>
      </c>
      <c r="Q578" t="s">
        <v>30</v>
      </c>
      <c r="R578">
        <v>21</v>
      </c>
      <c r="S578">
        <v>10</v>
      </c>
      <c r="T578">
        <v>88806</v>
      </c>
      <c r="U578">
        <v>6200</v>
      </c>
      <c r="V578">
        <v>12</v>
      </c>
      <c r="W578" t="s">
        <v>31</v>
      </c>
    </row>
    <row r="579" spans="1:23" x14ac:dyDescent="0.3">
      <c r="A579" t="s">
        <v>1130</v>
      </c>
      <c r="B579" t="s">
        <v>1854</v>
      </c>
      <c r="C579">
        <v>33</v>
      </c>
      <c r="D579" t="s">
        <v>33</v>
      </c>
      <c r="E579" t="s">
        <v>71</v>
      </c>
      <c r="F579" t="s">
        <v>47</v>
      </c>
      <c r="G579" t="s">
        <v>82</v>
      </c>
      <c r="H579" t="s">
        <v>286</v>
      </c>
      <c r="I579" t="s">
        <v>27</v>
      </c>
      <c r="J579" t="s">
        <v>747</v>
      </c>
      <c r="K579">
        <v>2021</v>
      </c>
      <c r="L579">
        <v>3</v>
      </c>
      <c r="M579">
        <v>9</v>
      </c>
      <c r="N579" t="s">
        <v>29</v>
      </c>
      <c r="O579">
        <v>2</v>
      </c>
      <c r="P579">
        <v>3</v>
      </c>
      <c r="Q579" t="s">
        <v>31</v>
      </c>
      <c r="R579">
        <v>13</v>
      </c>
      <c r="S579">
        <v>47</v>
      </c>
      <c r="T579">
        <v>64733</v>
      </c>
      <c r="U579">
        <v>9200</v>
      </c>
      <c r="V579">
        <v>11</v>
      </c>
      <c r="W579" t="s">
        <v>31</v>
      </c>
    </row>
    <row r="580" spans="1:23" x14ac:dyDescent="0.3">
      <c r="A580" t="s">
        <v>1131</v>
      </c>
      <c r="B580" t="s">
        <v>2014</v>
      </c>
      <c r="C580">
        <v>35</v>
      </c>
      <c r="D580" t="s">
        <v>33</v>
      </c>
      <c r="E580" t="s">
        <v>61</v>
      </c>
      <c r="F580" t="s">
        <v>137</v>
      </c>
      <c r="G580" t="s">
        <v>43</v>
      </c>
      <c r="H580" t="s">
        <v>44</v>
      </c>
      <c r="I580" t="s">
        <v>27</v>
      </c>
      <c r="J580" t="s">
        <v>1132</v>
      </c>
      <c r="K580">
        <v>2021</v>
      </c>
      <c r="L580">
        <v>3</v>
      </c>
      <c r="M580">
        <v>13</v>
      </c>
      <c r="N580" t="s">
        <v>85</v>
      </c>
      <c r="O580">
        <v>4</v>
      </c>
      <c r="P580">
        <v>3</v>
      </c>
      <c r="Q580" t="s">
        <v>31</v>
      </c>
      <c r="R580">
        <v>6</v>
      </c>
      <c r="S580">
        <v>80</v>
      </c>
      <c r="T580">
        <v>93877</v>
      </c>
      <c r="U580">
        <v>19800</v>
      </c>
      <c r="V580">
        <v>13</v>
      </c>
      <c r="W580" t="s">
        <v>31</v>
      </c>
    </row>
    <row r="581" spans="1:23" x14ac:dyDescent="0.3">
      <c r="A581" t="s">
        <v>1133</v>
      </c>
      <c r="B581" t="s">
        <v>2135</v>
      </c>
      <c r="C581">
        <v>30</v>
      </c>
      <c r="D581" t="s">
        <v>41</v>
      </c>
      <c r="E581" t="s">
        <v>71</v>
      </c>
      <c r="F581" t="s">
        <v>51</v>
      </c>
      <c r="G581" t="s">
        <v>52</v>
      </c>
      <c r="H581" t="s">
        <v>320</v>
      </c>
      <c r="I581" t="s">
        <v>27</v>
      </c>
      <c r="J581" t="s">
        <v>1134</v>
      </c>
      <c r="K581">
        <v>2023</v>
      </c>
      <c r="L581">
        <v>1</v>
      </c>
      <c r="M581">
        <v>4</v>
      </c>
      <c r="N581" t="s">
        <v>39</v>
      </c>
      <c r="O581">
        <v>4</v>
      </c>
      <c r="P581">
        <v>1</v>
      </c>
      <c r="Q581" t="s">
        <v>31</v>
      </c>
      <c r="R581">
        <v>21</v>
      </c>
      <c r="S581">
        <v>43</v>
      </c>
      <c r="T581">
        <v>78717</v>
      </c>
      <c r="U581">
        <v>2200</v>
      </c>
      <c r="V581">
        <v>13.7</v>
      </c>
      <c r="W581" t="s">
        <v>30</v>
      </c>
    </row>
    <row r="582" spans="1:23" x14ac:dyDescent="0.3">
      <c r="A582" t="s">
        <v>1135</v>
      </c>
      <c r="B582" t="s">
        <v>1880</v>
      </c>
      <c r="C582">
        <v>29</v>
      </c>
      <c r="D582" t="s">
        <v>41</v>
      </c>
      <c r="E582" t="s">
        <v>23</v>
      </c>
      <c r="F582" t="s">
        <v>42</v>
      </c>
      <c r="G582" t="s">
        <v>43</v>
      </c>
      <c r="H582" t="s">
        <v>96</v>
      </c>
      <c r="I582" t="s">
        <v>65</v>
      </c>
      <c r="J582" t="s">
        <v>391</v>
      </c>
      <c r="K582">
        <v>2021</v>
      </c>
      <c r="L582">
        <v>3</v>
      </c>
      <c r="M582">
        <v>4</v>
      </c>
      <c r="N582" t="s">
        <v>85</v>
      </c>
      <c r="O582">
        <v>1</v>
      </c>
      <c r="P582">
        <v>5</v>
      </c>
      <c r="Q582" t="s">
        <v>31</v>
      </c>
      <c r="R582">
        <v>5</v>
      </c>
      <c r="S582">
        <v>50</v>
      </c>
      <c r="T582">
        <v>84566</v>
      </c>
      <c r="U582">
        <v>18400</v>
      </c>
      <c r="V582">
        <v>4.5</v>
      </c>
      <c r="W582" t="s">
        <v>31</v>
      </c>
    </row>
    <row r="583" spans="1:23" x14ac:dyDescent="0.3">
      <c r="A583" t="s">
        <v>1136</v>
      </c>
      <c r="B583" t="s">
        <v>2136</v>
      </c>
      <c r="C583">
        <v>42</v>
      </c>
      <c r="D583" t="s">
        <v>41</v>
      </c>
      <c r="E583" t="s">
        <v>71</v>
      </c>
      <c r="F583" t="s">
        <v>42</v>
      </c>
      <c r="G583" t="s">
        <v>63</v>
      </c>
      <c r="H583" t="s">
        <v>64</v>
      </c>
      <c r="I583" t="s">
        <v>27</v>
      </c>
      <c r="J583" t="s">
        <v>1137</v>
      </c>
      <c r="K583">
        <v>2021</v>
      </c>
      <c r="L583">
        <v>3</v>
      </c>
      <c r="M583">
        <v>12</v>
      </c>
      <c r="N583" t="s">
        <v>29</v>
      </c>
      <c r="O583">
        <v>2</v>
      </c>
      <c r="P583">
        <v>1</v>
      </c>
      <c r="Q583" t="s">
        <v>31</v>
      </c>
      <c r="R583">
        <v>21</v>
      </c>
      <c r="S583">
        <v>21</v>
      </c>
      <c r="T583">
        <v>39973</v>
      </c>
      <c r="U583">
        <v>4900</v>
      </c>
      <c r="V583">
        <v>3.6</v>
      </c>
      <c r="W583" t="s">
        <v>31</v>
      </c>
    </row>
    <row r="584" spans="1:23" x14ac:dyDescent="0.3">
      <c r="A584" t="s">
        <v>1138</v>
      </c>
      <c r="B584" t="s">
        <v>2056</v>
      </c>
      <c r="C584">
        <v>39</v>
      </c>
      <c r="D584" t="s">
        <v>33</v>
      </c>
      <c r="E584" t="s">
        <v>34</v>
      </c>
      <c r="F584" t="s">
        <v>35</v>
      </c>
      <c r="G584" t="s">
        <v>52</v>
      </c>
      <c r="H584" t="s">
        <v>53</v>
      </c>
      <c r="I584" t="s">
        <v>27</v>
      </c>
      <c r="J584" t="s">
        <v>603</v>
      </c>
      <c r="K584">
        <v>2022</v>
      </c>
      <c r="L584">
        <v>2</v>
      </c>
      <c r="M584">
        <v>14</v>
      </c>
      <c r="N584" t="s">
        <v>29</v>
      </c>
      <c r="O584">
        <v>3</v>
      </c>
      <c r="P584">
        <v>1</v>
      </c>
      <c r="Q584" t="s">
        <v>31</v>
      </c>
      <c r="R584">
        <v>2</v>
      </c>
      <c r="S584">
        <v>32</v>
      </c>
      <c r="T584">
        <v>71271</v>
      </c>
      <c r="U584">
        <v>9900</v>
      </c>
      <c r="V584">
        <v>14.7</v>
      </c>
      <c r="W584" t="s">
        <v>31</v>
      </c>
    </row>
    <row r="585" spans="1:23" x14ac:dyDescent="0.3">
      <c r="A585" t="s">
        <v>1139</v>
      </c>
      <c r="B585" t="s">
        <v>1994</v>
      </c>
      <c r="C585">
        <v>38</v>
      </c>
      <c r="D585" t="s">
        <v>41</v>
      </c>
      <c r="E585" t="s">
        <v>34</v>
      </c>
      <c r="F585" t="s">
        <v>153</v>
      </c>
      <c r="G585" t="s">
        <v>36</v>
      </c>
      <c r="H585" t="s">
        <v>68</v>
      </c>
      <c r="I585" t="s">
        <v>27</v>
      </c>
      <c r="J585" t="s">
        <v>1140</v>
      </c>
      <c r="K585">
        <v>2021</v>
      </c>
      <c r="L585">
        <v>3</v>
      </c>
      <c r="M585">
        <v>14</v>
      </c>
      <c r="N585" t="s">
        <v>98</v>
      </c>
      <c r="O585">
        <v>2</v>
      </c>
      <c r="P585">
        <v>2</v>
      </c>
      <c r="Q585" t="s">
        <v>31</v>
      </c>
      <c r="R585">
        <v>11</v>
      </c>
      <c r="S585">
        <v>9</v>
      </c>
      <c r="T585">
        <v>55502</v>
      </c>
      <c r="U585">
        <v>4400</v>
      </c>
      <c r="V585">
        <v>14.4</v>
      </c>
      <c r="W585" t="s">
        <v>31</v>
      </c>
    </row>
    <row r="586" spans="1:23" x14ac:dyDescent="0.3">
      <c r="A586" t="s">
        <v>1141</v>
      </c>
      <c r="B586" t="s">
        <v>2137</v>
      </c>
      <c r="C586">
        <v>43</v>
      </c>
      <c r="D586" t="s">
        <v>22</v>
      </c>
      <c r="E586" t="s">
        <v>34</v>
      </c>
      <c r="F586" t="s">
        <v>57</v>
      </c>
      <c r="G586" t="s">
        <v>63</v>
      </c>
      <c r="H586" t="s">
        <v>64</v>
      </c>
      <c r="I586" t="s">
        <v>27</v>
      </c>
      <c r="J586" t="s">
        <v>1142</v>
      </c>
      <c r="K586">
        <v>2024</v>
      </c>
      <c r="L586">
        <v>0</v>
      </c>
      <c r="M586">
        <v>19</v>
      </c>
      <c r="N586" t="s">
        <v>98</v>
      </c>
      <c r="O586">
        <v>5</v>
      </c>
      <c r="P586">
        <v>4</v>
      </c>
      <c r="Q586" t="s">
        <v>31</v>
      </c>
      <c r="R586">
        <v>7</v>
      </c>
      <c r="S586">
        <v>56</v>
      </c>
      <c r="T586">
        <v>39666</v>
      </c>
      <c r="U586">
        <v>3100</v>
      </c>
      <c r="V586">
        <v>3.1</v>
      </c>
      <c r="W586" t="s">
        <v>31</v>
      </c>
    </row>
    <row r="587" spans="1:23" x14ac:dyDescent="0.3">
      <c r="A587" t="s">
        <v>1143</v>
      </c>
      <c r="B587" t="s">
        <v>1843</v>
      </c>
      <c r="C587">
        <v>37</v>
      </c>
      <c r="D587" t="s">
        <v>33</v>
      </c>
      <c r="E587" t="s">
        <v>56</v>
      </c>
      <c r="F587" t="s">
        <v>51</v>
      </c>
      <c r="G587" t="s">
        <v>43</v>
      </c>
      <c r="H587" t="s">
        <v>96</v>
      </c>
      <c r="I587" t="s">
        <v>27</v>
      </c>
      <c r="J587" t="s">
        <v>1144</v>
      </c>
      <c r="K587">
        <v>2024</v>
      </c>
      <c r="L587">
        <v>0</v>
      </c>
      <c r="M587">
        <v>11</v>
      </c>
      <c r="N587" t="s">
        <v>29</v>
      </c>
      <c r="O587">
        <v>2</v>
      </c>
      <c r="P587">
        <v>5</v>
      </c>
      <c r="Q587" t="s">
        <v>31</v>
      </c>
      <c r="R587">
        <v>3</v>
      </c>
      <c r="S587">
        <v>11</v>
      </c>
      <c r="T587">
        <v>75370</v>
      </c>
      <c r="U587">
        <v>10500</v>
      </c>
      <c r="V587">
        <v>4.4000000000000004</v>
      </c>
      <c r="W587" t="s">
        <v>31</v>
      </c>
    </row>
    <row r="588" spans="1:23" x14ac:dyDescent="0.3">
      <c r="A588" t="s">
        <v>1145</v>
      </c>
      <c r="B588" t="s">
        <v>1920</v>
      </c>
      <c r="C588">
        <v>36</v>
      </c>
      <c r="D588" t="s">
        <v>41</v>
      </c>
      <c r="E588" t="s">
        <v>71</v>
      </c>
      <c r="F588" t="s">
        <v>47</v>
      </c>
      <c r="G588" t="s">
        <v>82</v>
      </c>
      <c r="H588" t="s">
        <v>138</v>
      </c>
      <c r="I588" t="s">
        <v>65</v>
      </c>
      <c r="J588" t="s">
        <v>1146</v>
      </c>
      <c r="K588">
        <v>2024</v>
      </c>
      <c r="L588">
        <v>0</v>
      </c>
      <c r="M588">
        <v>14</v>
      </c>
      <c r="N588" t="s">
        <v>98</v>
      </c>
      <c r="O588">
        <v>1</v>
      </c>
      <c r="P588">
        <v>1</v>
      </c>
      <c r="Q588" t="s">
        <v>31</v>
      </c>
      <c r="R588">
        <v>3</v>
      </c>
      <c r="S588">
        <v>62</v>
      </c>
      <c r="T588">
        <v>63363</v>
      </c>
      <c r="U588">
        <v>4800</v>
      </c>
      <c r="V588">
        <v>13.9</v>
      </c>
      <c r="W588" t="s">
        <v>31</v>
      </c>
    </row>
    <row r="589" spans="1:23" x14ac:dyDescent="0.3">
      <c r="A589" t="s">
        <v>1147</v>
      </c>
      <c r="B589" t="s">
        <v>1975</v>
      </c>
      <c r="C589">
        <v>33</v>
      </c>
      <c r="D589" t="s">
        <v>33</v>
      </c>
      <c r="E589" t="s">
        <v>71</v>
      </c>
      <c r="F589" t="s">
        <v>62</v>
      </c>
      <c r="G589" t="s">
        <v>100</v>
      </c>
      <c r="H589" t="s">
        <v>145</v>
      </c>
      <c r="I589" t="s">
        <v>79</v>
      </c>
      <c r="J589" t="s">
        <v>1148</v>
      </c>
      <c r="K589">
        <v>2024</v>
      </c>
      <c r="L589">
        <v>0</v>
      </c>
      <c r="M589">
        <v>4</v>
      </c>
      <c r="N589" t="s">
        <v>29</v>
      </c>
      <c r="O589">
        <v>1</v>
      </c>
      <c r="P589">
        <v>5</v>
      </c>
      <c r="Q589" t="s">
        <v>31</v>
      </c>
      <c r="R589">
        <v>3</v>
      </c>
      <c r="S589">
        <v>15</v>
      </c>
      <c r="T589">
        <v>77068</v>
      </c>
      <c r="U589">
        <v>9300</v>
      </c>
      <c r="V589">
        <v>14.1</v>
      </c>
      <c r="W589" t="s">
        <v>31</v>
      </c>
    </row>
    <row r="590" spans="1:23" x14ac:dyDescent="0.3">
      <c r="A590" t="s">
        <v>1149</v>
      </c>
      <c r="B590" t="s">
        <v>1813</v>
      </c>
      <c r="C590">
        <v>29</v>
      </c>
      <c r="D590" t="s">
        <v>41</v>
      </c>
      <c r="E590" t="s">
        <v>71</v>
      </c>
      <c r="F590" t="s">
        <v>153</v>
      </c>
      <c r="G590" t="s">
        <v>43</v>
      </c>
      <c r="H590" t="s">
        <v>44</v>
      </c>
      <c r="I590" t="s">
        <v>27</v>
      </c>
      <c r="J590" t="s">
        <v>1150</v>
      </c>
      <c r="K590">
        <v>2024</v>
      </c>
      <c r="L590">
        <v>0</v>
      </c>
      <c r="M590">
        <v>2</v>
      </c>
      <c r="N590" t="s">
        <v>98</v>
      </c>
      <c r="O590">
        <v>1</v>
      </c>
      <c r="P590">
        <v>2</v>
      </c>
      <c r="Q590" t="s">
        <v>31</v>
      </c>
      <c r="R590">
        <v>18</v>
      </c>
      <c r="S590">
        <v>23</v>
      </c>
      <c r="T590">
        <v>127703</v>
      </c>
      <c r="U590">
        <v>9200</v>
      </c>
      <c r="V590">
        <v>9.3000000000000007</v>
      </c>
      <c r="W590" t="s">
        <v>31</v>
      </c>
    </row>
    <row r="591" spans="1:23" x14ac:dyDescent="0.3">
      <c r="A591" t="s">
        <v>1151</v>
      </c>
      <c r="B591" t="s">
        <v>1823</v>
      </c>
      <c r="C591">
        <v>30</v>
      </c>
      <c r="D591" t="s">
        <v>33</v>
      </c>
      <c r="E591" t="s">
        <v>61</v>
      </c>
      <c r="F591" t="s">
        <v>137</v>
      </c>
      <c r="G591" t="s">
        <v>36</v>
      </c>
      <c r="H591" t="s">
        <v>76</v>
      </c>
      <c r="I591" t="s">
        <v>27</v>
      </c>
      <c r="J591" t="s">
        <v>1152</v>
      </c>
      <c r="K591">
        <v>2023</v>
      </c>
      <c r="L591">
        <v>1</v>
      </c>
      <c r="M591">
        <v>1</v>
      </c>
      <c r="N591" t="s">
        <v>29</v>
      </c>
      <c r="O591">
        <v>3</v>
      </c>
      <c r="P591">
        <v>2</v>
      </c>
      <c r="Q591" t="s">
        <v>30</v>
      </c>
      <c r="R591">
        <v>6</v>
      </c>
      <c r="S591">
        <v>71</v>
      </c>
      <c r="T591">
        <v>61614</v>
      </c>
      <c r="U591">
        <v>7900</v>
      </c>
      <c r="V591">
        <v>7.2</v>
      </c>
      <c r="W591" t="s">
        <v>31</v>
      </c>
    </row>
    <row r="592" spans="1:23" x14ac:dyDescent="0.3">
      <c r="A592" t="s">
        <v>1153</v>
      </c>
      <c r="B592" t="s">
        <v>1914</v>
      </c>
      <c r="C592">
        <v>30</v>
      </c>
      <c r="D592" t="s">
        <v>33</v>
      </c>
      <c r="E592" t="s">
        <v>34</v>
      </c>
      <c r="F592" t="s">
        <v>57</v>
      </c>
      <c r="G592" t="s">
        <v>63</v>
      </c>
      <c r="H592" t="s">
        <v>337</v>
      </c>
      <c r="I592" t="s">
        <v>27</v>
      </c>
      <c r="J592" t="s">
        <v>1154</v>
      </c>
      <c r="K592">
        <v>2022</v>
      </c>
      <c r="L592">
        <v>2</v>
      </c>
      <c r="M592">
        <v>3</v>
      </c>
      <c r="N592" t="s">
        <v>98</v>
      </c>
      <c r="O592">
        <v>3</v>
      </c>
      <c r="P592">
        <v>5</v>
      </c>
      <c r="Q592" t="s">
        <v>30</v>
      </c>
      <c r="R592">
        <v>15</v>
      </c>
      <c r="S592">
        <v>23</v>
      </c>
      <c r="T592">
        <v>52636</v>
      </c>
      <c r="U592">
        <v>4200</v>
      </c>
      <c r="V592">
        <v>5.7</v>
      </c>
      <c r="W592" t="s">
        <v>31</v>
      </c>
    </row>
    <row r="593" spans="1:23" x14ac:dyDescent="0.3">
      <c r="A593" t="s">
        <v>1155</v>
      </c>
      <c r="B593" t="s">
        <v>2020</v>
      </c>
      <c r="C593">
        <v>42</v>
      </c>
      <c r="D593" t="s">
        <v>41</v>
      </c>
      <c r="E593" t="s">
        <v>61</v>
      </c>
      <c r="F593" t="s">
        <v>42</v>
      </c>
      <c r="G593" t="s">
        <v>36</v>
      </c>
      <c r="H593" t="s">
        <v>89</v>
      </c>
      <c r="I593" t="s">
        <v>27</v>
      </c>
      <c r="J593" t="s">
        <v>460</v>
      </c>
      <c r="K593">
        <v>2024</v>
      </c>
      <c r="L593">
        <v>0</v>
      </c>
      <c r="M593">
        <v>15</v>
      </c>
      <c r="N593" t="s">
        <v>29</v>
      </c>
      <c r="O593">
        <v>5</v>
      </c>
      <c r="P593">
        <v>5</v>
      </c>
      <c r="Q593" t="s">
        <v>31</v>
      </c>
      <c r="R593">
        <v>5</v>
      </c>
      <c r="S593">
        <v>50</v>
      </c>
      <c r="T593">
        <v>56045</v>
      </c>
      <c r="U593">
        <v>5700</v>
      </c>
      <c r="V593">
        <v>10</v>
      </c>
      <c r="W593" t="s">
        <v>31</v>
      </c>
    </row>
    <row r="594" spans="1:23" x14ac:dyDescent="0.3">
      <c r="A594" t="s">
        <v>1156</v>
      </c>
      <c r="B594" t="s">
        <v>2138</v>
      </c>
      <c r="C594">
        <v>41</v>
      </c>
      <c r="D594" t="s">
        <v>41</v>
      </c>
      <c r="E594" t="s">
        <v>34</v>
      </c>
      <c r="F594" t="s">
        <v>62</v>
      </c>
      <c r="G594" t="s">
        <v>43</v>
      </c>
      <c r="H594" t="s">
        <v>72</v>
      </c>
      <c r="I594" t="s">
        <v>65</v>
      </c>
      <c r="J594" t="s">
        <v>1157</v>
      </c>
      <c r="K594">
        <v>2024</v>
      </c>
      <c r="L594">
        <v>0</v>
      </c>
      <c r="M594">
        <v>11</v>
      </c>
      <c r="N594" t="s">
        <v>39</v>
      </c>
      <c r="O594">
        <v>3</v>
      </c>
      <c r="P594">
        <v>2</v>
      </c>
      <c r="Q594" t="s">
        <v>30</v>
      </c>
      <c r="R594">
        <v>14</v>
      </c>
      <c r="S594">
        <v>5</v>
      </c>
      <c r="T594">
        <v>87436</v>
      </c>
      <c r="U594">
        <v>2200</v>
      </c>
      <c r="V594">
        <v>14.5</v>
      </c>
      <c r="W594" t="s">
        <v>31</v>
      </c>
    </row>
    <row r="595" spans="1:23" x14ac:dyDescent="0.3">
      <c r="A595" t="s">
        <v>1158</v>
      </c>
      <c r="B595" t="s">
        <v>2125</v>
      </c>
      <c r="C595">
        <v>33</v>
      </c>
      <c r="D595" t="s">
        <v>33</v>
      </c>
      <c r="E595" t="s">
        <v>56</v>
      </c>
      <c r="F595" t="s">
        <v>62</v>
      </c>
      <c r="G595" t="s">
        <v>52</v>
      </c>
      <c r="H595" t="s">
        <v>53</v>
      </c>
      <c r="I595" t="s">
        <v>27</v>
      </c>
      <c r="J595" t="s">
        <v>1159</v>
      </c>
      <c r="K595">
        <v>2021</v>
      </c>
      <c r="L595">
        <v>3</v>
      </c>
      <c r="M595">
        <v>8</v>
      </c>
      <c r="N595" t="s">
        <v>29</v>
      </c>
      <c r="O595">
        <v>4</v>
      </c>
      <c r="P595">
        <v>4</v>
      </c>
      <c r="Q595" t="s">
        <v>30</v>
      </c>
      <c r="R595">
        <v>17</v>
      </c>
      <c r="S595">
        <v>70</v>
      </c>
      <c r="T595">
        <v>73859</v>
      </c>
      <c r="U595">
        <v>7900</v>
      </c>
      <c r="V595">
        <v>3.1</v>
      </c>
      <c r="W595" t="s">
        <v>31</v>
      </c>
    </row>
    <row r="596" spans="1:23" x14ac:dyDescent="0.3">
      <c r="A596" t="s">
        <v>1160</v>
      </c>
      <c r="B596" t="s">
        <v>2139</v>
      </c>
      <c r="C596">
        <v>39</v>
      </c>
      <c r="D596" t="s">
        <v>41</v>
      </c>
      <c r="E596" t="s">
        <v>71</v>
      </c>
      <c r="F596" t="s">
        <v>24</v>
      </c>
      <c r="G596" t="s">
        <v>43</v>
      </c>
      <c r="H596" t="s">
        <v>44</v>
      </c>
      <c r="I596" t="s">
        <v>27</v>
      </c>
      <c r="J596" t="s">
        <v>1161</v>
      </c>
      <c r="K596">
        <v>2024</v>
      </c>
      <c r="L596">
        <v>0</v>
      </c>
      <c r="M596">
        <v>13</v>
      </c>
      <c r="N596" t="s">
        <v>98</v>
      </c>
      <c r="O596">
        <v>1</v>
      </c>
      <c r="P596">
        <v>2</v>
      </c>
      <c r="Q596" t="s">
        <v>31</v>
      </c>
      <c r="R596">
        <v>10</v>
      </c>
      <c r="S596">
        <v>31</v>
      </c>
      <c r="T596">
        <v>117706</v>
      </c>
      <c r="U596">
        <v>7500</v>
      </c>
      <c r="V596">
        <v>7.4</v>
      </c>
      <c r="W596" t="s">
        <v>31</v>
      </c>
    </row>
    <row r="597" spans="1:23" x14ac:dyDescent="0.3">
      <c r="A597" t="s">
        <v>1162</v>
      </c>
      <c r="B597" t="s">
        <v>1982</v>
      </c>
      <c r="C597">
        <v>29</v>
      </c>
      <c r="D597" t="s">
        <v>41</v>
      </c>
      <c r="E597" t="s">
        <v>71</v>
      </c>
      <c r="F597" t="s">
        <v>137</v>
      </c>
      <c r="G597" t="s">
        <v>63</v>
      </c>
      <c r="H597" t="s">
        <v>64</v>
      </c>
      <c r="I597" t="s">
        <v>27</v>
      </c>
      <c r="J597" t="s">
        <v>1163</v>
      </c>
      <c r="K597">
        <v>2024</v>
      </c>
      <c r="L597">
        <v>0</v>
      </c>
      <c r="M597">
        <v>4</v>
      </c>
      <c r="N597" t="s">
        <v>98</v>
      </c>
      <c r="O597">
        <v>4</v>
      </c>
      <c r="P597">
        <v>4</v>
      </c>
      <c r="Q597" t="s">
        <v>30</v>
      </c>
      <c r="R597">
        <v>18</v>
      </c>
      <c r="S597">
        <v>55</v>
      </c>
      <c r="T597">
        <v>58513</v>
      </c>
      <c r="U597">
        <v>4900</v>
      </c>
      <c r="V597">
        <v>12.9</v>
      </c>
      <c r="W597" t="s">
        <v>31</v>
      </c>
    </row>
    <row r="598" spans="1:23" x14ac:dyDescent="0.3">
      <c r="A598" t="s">
        <v>1164</v>
      </c>
      <c r="B598" t="s">
        <v>2140</v>
      </c>
      <c r="C598">
        <v>29</v>
      </c>
      <c r="D598" t="s">
        <v>33</v>
      </c>
      <c r="E598" t="s">
        <v>71</v>
      </c>
      <c r="F598" t="s">
        <v>137</v>
      </c>
      <c r="G598" t="s">
        <v>25</v>
      </c>
      <c r="H598" t="s">
        <v>26</v>
      </c>
      <c r="I598" t="s">
        <v>27</v>
      </c>
      <c r="J598" t="s">
        <v>1165</v>
      </c>
      <c r="K598">
        <v>2024</v>
      </c>
      <c r="L598">
        <v>0</v>
      </c>
      <c r="M598">
        <v>2</v>
      </c>
      <c r="N598" t="s">
        <v>85</v>
      </c>
      <c r="O598">
        <v>4</v>
      </c>
      <c r="P598">
        <v>4</v>
      </c>
      <c r="Q598" t="s">
        <v>31</v>
      </c>
      <c r="R598">
        <v>22</v>
      </c>
      <c r="S598">
        <v>17</v>
      </c>
      <c r="T598">
        <v>101288</v>
      </c>
      <c r="U598">
        <v>21700</v>
      </c>
      <c r="V598">
        <v>3.8</v>
      </c>
      <c r="W598" t="s">
        <v>31</v>
      </c>
    </row>
    <row r="599" spans="1:23" x14ac:dyDescent="0.3">
      <c r="A599" t="s">
        <v>1166</v>
      </c>
      <c r="B599" t="s">
        <v>2119</v>
      </c>
      <c r="C599">
        <v>49</v>
      </c>
      <c r="D599" t="s">
        <v>41</v>
      </c>
      <c r="E599" t="s">
        <v>56</v>
      </c>
      <c r="F599" t="s">
        <v>137</v>
      </c>
      <c r="G599" t="s">
        <v>43</v>
      </c>
      <c r="H599" t="s">
        <v>48</v>
      </c>
      <c r="I599" t="s">
        <v>27</v>
      </c>
      <c r="J599" t="s">
        <v>1167</v>
      </c>
      <c r="K599">
        <v>2023</v>
      </c>
      <c r="L599">
        <v>1</v>
      </c>
      <c r="M599">
        <v>19</v>
      </c>
      <c r="N599" t="s">
        <v>98</v>
      </c>
      <c r="O599">
        <v>3</v>
      </c>
      <c r="P599">
        <v>5</v>
      </c>
      <c r="Q599" t="s">
        <v>31</v>
      </c>
      <c r="R599">
        <v>3</v>
      </c>
      <c r="S599">
        <v>9</v>
      </c>
      <c r="T599">
        <v>88904</v>
      </c>
      <c r="U599">
        <v>7400</v>
      </c>
      <c r="V599">
        <v>10</v>
      </c>
      <c r="W599" t="s">
        <v>31</v>
      </c>
    </row>
    <row r="600" spans="1:23" x14ac:dyDescent="0.3">
      <c r="A600" t="s">
        <v>1168</v>
      </c>
      <c r="B600" t="s">
        <v>2141</v>
      </c>
      <c r="C600">
        <v>30</v>
      </c>
      <c r="D600" t="s">
        <v>33</v>
      </c>
      <c r="E600" t="s">
        <v>34</v>
      </c>
      <c r="F600" t="s">
        <v>153</v>
      </c>
      <c r="G600" t="s">
        <v>36</v>
      </c>
      <c r="H600" t="s">
        <v>76</v>
      </c>
      <c r="I600" t="s">
        <v>79</v>
      </c>
      <c r="J600" t="s">
        <v>1169</v>
      </c>
      <c r="K600">
        <v>2022</v>
      </c>
      <c r="L600">
        <v>2</v>
      </c>
      <c r="M600">
        <v>6</v>
      </c>
      <c r="N600" t="s">
        <v>98</v>
      </c>
      <c r="O600">
        <v>4</v>
      </c>
      <c r="P600">
        <v>4</v>
      </c>
      <c r="Q600" t="s">
        <v>31</v>
      </c>
      <c r="R600">
        <v>4</v>
      </c>
      <c r="S600">
        <v>43</v>
      </c>
      <c r="T600">
        <v>77438</v>
      </c>
      <c r="U600">
        <v>5100</v>
      </c>
      <c r="V600">
        <v>4.0999999999999996</v>
      </c>
      <c r="W600" t="s">
        <v>31</v>
      </c>
    </row>
    <row r="601" spans="1:23" x14ac:dyDescent="0.3">
      <c r="A601" t="s">
        <v>1170</v>
      </c>
      <c r="B601" t="s">
        <v>2036</v>
      </c>
      <c r="C601">
        <v>27</v>
      </c>
      <c r="D601" t="s">
        <v>41</v>
      </c>
      <c r="E601" t="s">
        <v>34</v>
      </c>
      <c r="F601" t="s">
        <v>42</v>
      </c>
      <c r="G601" t="s">
        <v>117</v>
      </c>
      <c r="H601" t="s">
        <v>198</v>
      </c>
      <c r="I601" t="s">
        <v>27</v>
      </c>
      <c r="J601" t="s">
        <v>1171</v>
      </c>
      <c r="K601">
        <v>2024</v>
      </c>
      <c r="L601">
        <v>0</v>
      </c>
      <c r="M601">
        <v>3</v>
      </c>
      <c r="N601" t="s">
        <v>29</v>
      </c>
      <c r="O601">
        <v>5</v>
      </c>
      <c r="P601">
        <v>1</v>
      </c>
      <c r="Q601" t="s">
        <v>31</v>
      </c>
      <c r="R601">
        <v>17</v>
      </c>
      <c r="S601">
        <v>7</v>
      </c>
      <c r="T601">
        <v>68146</v>
      </c>
      <c r="U601">
        <v>9800</v>
      </c>
      <c r="V601">
        <v>10.6</v>
      </c>
      <c r="W601" t="s">
        <v>31</v>
      </c>
    </row>
    <row r="602" spans="1:23" x14ac:dyDescent="0.3">
      <c r="A602" t="s">
        <v>1172</v>
      </c>
      <c r="B602" t="s">
        <v>2024</v>
      </c>
      <c r="C602">
        <v>39</v>
      </c>
      <c r="D602" t="s">
        <v>41</v>
      </c>
      <c r="E602" t="s">
        <v>34</v>
      </c>
      <c r="F602" t="s">
        <v>35</v>
      </c>
      <c r="G602" t="s">
        <v>36</v>
      </c>
      <c r="H602" t="s">
        <v>68</v>
      </c>
      <c r="I602" t="s">
        <v>27</v>
      </c>
      <c r="J602" t="s">
        <v>1173</v>
      </c>
      <c r="K602">
        <v>2021</v>
      </c>
      <c r="L602">
        <v>3</v>
      </c>
      <c r="M602">
        <v>13</v>
      </c>
      <c r="N602" t="s">
        <v>29</v>
      </c>
      <c r="O602">
        <v>3</v>
      </c>
      <c r="P602">
        <v>1</v>
      </c>
      <c r="Q602" t="s">
        <v>31</v>
      </c>
      <c r="R602">
        <v>21</v>
      </c>
      <c r="S602">
        <v>19</v>
      </c>
      <c r="T602">
        <v>82229</v>
      </c>
      <c r="U602">
        <v>11300</v>
      </c>
      <c r="V602">
        <v>14.5</v>
      </c>
      <c r="W602" t="s">
        <v>31</v>
      </c>
    </row>
    <row r="603" spans="1:23" x14ac:dyDescent="0.3">
      <c r="A603" t="s">
        <v>1174</v>
      </c>
      <c r="B603" t="s">
        <v>2142</v>
      </c>
      <c r="C603">
        <v>37</v>
      </c>
      <c r="D603" t="s">
        <v>33</v>
      </c>
      <c r="E603" t="s">
        <v>71</v>
      </c>
      <c r="F603" t="s">
        <v>57</v>
      </c>
      <c r="G603" t="s">
        <v>25</v>
      </c>
      <c r="H603" t="s">
        <v>58</v>
      </c>
      <c r="I603" t="s">
        <v>27</v>
      </c>
      <c r="J603" t="s">
        <v>1175</v>
      </c>
      <c r="K603">
        <v>2022</v>
      </c>
      <c r="L603">
        <v>2</v>
      </c>
      <c r="M603">
        <v>15</v>
      </c>
      <c r="N603" t="s">
        <v>98</v>
      </c>
      <c r="O603">
        <v>2</v>
      </c>
      <c r="P603">
        <v>5</v>
      </c>
      <c r="Q603" t="s">
        <v>31</v>
      </c>
      <c r="R603">
        <v>16</v>
      </c>
      <c r="S603">
        <v>21</v>
      </c>
      <c r="T603">
        <v>90231</v>
      </c>
      <c r="U603">
        <v>7100</v>
      </c>
      <c r="V603">
        <v>4.4000000000000004</v>
      </c>
      <c r="W603" t="s">
        <v>31</v>
      </c>
    </row>
    <row r="604" spans="1:23" x14ac:dyDescent="0.3">
      <c r="A604" t="s">
        <v>1176</v>
      </c>
      <c r="B604" t="s">
        <v>1810</v>
      </c>
      <c r="C604">
        <v>46</v>
      </c>
      <c r="D604" t="s">
        <v>41</v>
      </c>
      <c r="E604" t="s">
        <v>61</v>
      </c>
      <c r="F604" t="s">
        <v>51</v>
      </c>
      <c r="G604" t="s">
        <v>82</v>
      </c>
      <c r="H604" t="s">
        <v>286</v>
      </c>
      <c r="I604" t="s">
        <v>27</v>
      </c>
      <c r="J604" t="s">
        <v>1177</v>
      </c>
      <c r="K604">
        <v>2023</v>
      </c>
      <c r="L604">
        <v>1</v>
      </c>
      <c r="M604">
        <v>18</v>
      </c>
      <c r="N604" t="s">
        <v>98</v>
      </c>
      <c r="O604">
        <v>4</v>
      </c>
      <c r="P604">
        <v>1</v>
      </c>
      <c r="Q604" t="s">
        <v>31</v>
      </c>
      <c r="R604">
        <v>11</v>
      </c>
      <c r="S604">
        <v>7</v>
      </c>
      <c r="T604">
        <v>52627</v>
      </c>
      <c r="U604">
        <v>3000</v>
      </c>
      <c r="V604">
        <v>6</v>
      </c>
      <c r="W604" t="s">
        <v>31</v>
      </c>
    </row>
    <row r="605" spans="1:23" x14ac:dyDescent="0.3">
      <c r="A605" t="s">
        <v>1178</v>
      </c>
      <c r="B605" t="s">
        <v>2143</v>
      </c>
      <c r="C605">
        <v>41</v>
      </c>
      <c r="D605" t="s">
        <v>33</v>
      </c>
      <c r="E605" t="s">
        <v>71</v>
      </c>
      <c r="F605" t="s">
        <v>75</v>
      </c>
      <c r="G605" t="s">
        <v>52</v>
      </c>
      <c r="H605" t="s">
        <v>320</v>
      </c>
      <c r="I605" t="s">
        <v>27</v>
      </c>
      <c r="J605" t="s">
        <v>1179</v>
      </c>
      <c r="K605">
        <v>2021</v>
      </c>
      <c r="L605">
        <v>3</v>
      </c>
      <c r="M605">
        <v>11</v>
      </c>
      <c r="N605" t="s">
        <v>29</v>
      </c>
      <c r="O605">
        <v>4</v>
      </c>
      <c r="P605">
        <v>4</v>
      </c>
      <c r="Q605" t="s">
        <v>30</v>
      </c>
      <c r="R605">
        <v>13</v>
      </c>
      <c r="S605">
        <v>48</v>
      </c>
      <c r="T605">
        <v>79860</v>
      </c>
      <c r="U605">
        <v>10600</v>
      </c>
      <c r="V605">
        <v>10.7</v>
      </c>
      <c r="W605" t="s">
        <v>31</v>
      </c>
    </row>
    <row r="606" spans="1:23" x14ac:dyDescent="0.3">
      <c r="A606" t="s">
        <v>1180</v>
      </c>
      <c r="B606" t="s">
        <v>2098</v>
      </c>
      <c r="C606">
        <v>48</v>
      </c>
      <c r="D606" t="s">
        <v>41</v>
      </c>
      <c r="E606" t="s">
        <v>34</v>
      </c>
      <c r="F606" t="s">
        <v>57</v>
      </c>
      <c r="G606" t="s">
        <v>25</v>
      </c>
      <c r="H606" t="s">
        <v>26</v>
      </c>
      <c r="I606" t="s">
        <v>27</v>
      </c>
      <c r="J606" t="s">
        <v>1181</v>
      </c>
      <c r="K606">
        <v>2023</v>
      </c>
      <c r="L606">
        <v>1</v>
      </c>
      <c r="M606">
        <v>20</v>
      </c>
      <c r="N606" t="s">
        <v>98</v>
      </c>
      <c r="O606">
        <v>5</v>
      </c>
      <c r="P606">
        <v>5</v>
      </c>
      <c r="Q606" t="s">
        <v>30</v>
      </c>
      <c r="R606">
        <v>17</v>
      </c>
      <c r="S606">
        <v>22</v>
      </c>
      <c r="T606">
        <v>106534</v>
      </c>
      <c r="U606">
        <v>8300</v>
      </c>
      <c r="V606">
        <v>11.4</v>
      </c>
      <c r="W606" t="s">
        <v>31</v>
      </c>
    </row>
    <row r="607" spans="1:23" x14ac:dyDescent="0.3">
      <c r="A607" t="s">
        <v>1182</v>
      </c>
      <c r="B607" t="s">
        <v>1803</v>
      </c>
      <c r="C607">
        <v>34</v>
      </c>
      <c r="D607" t="s">
        <v>33</v>
      </c>
      <c r="E607" t="s">
        <v>23</v>
      </c>
      <c r="F607" t="s">
        <v>42</v>
      </c>
      <c r="G607" t="s">
        <v>25</v>
      </c>
      <c r="H607" t="s">
        <v>58</v>
      </c>
      <c r="I607" t="s">
        <v>27</v>
      </c>
      <c r="J607" t="s">
        <v>1183</v>
      </c>
      <c r="K607">
        <v>2021</v>
      </c>
      <c r="L607">
        <v>3</v>
      </c>
      <c r="M607">
        <v>7</v>
      </c>
      <c r="N607" t="s">
        <v>98</v>
      </c>
      <c r="O607">
        <v>1</v>
      </c>
      <c r="P607">
        <v>2</v>
      </c>
      <c r="Q607" t="s">
        <v>31</v>
      </c>
      <c r="R607">
        <v>3</v>
      </c>
      <c r="S607">
        <v>58</v>
      </c>
      <c r="T607">
        <v>58436</v>
      </c>
      <c r="U607">
        <v>4400</v>
      </c>
      <c r="V607">
        <v>8.1999999999999993</v>
      </c>
      <c r="W607" t="s">
        <v>31</v>
      </c>
    </row>
    <row r="608" spans="1:23" x14ac:dyDescent="0.3">
      <c r="A608" t="s">
        <v>1184</v>
      </c>
      <c r="B608" t="s">
        <v>2144</v>
      </c>
      <c r="C608">
        <v>41</v>
      </c>
      <c r="D608" t="s">
        <v>33</v>
      </c>
      <c r="E608" t="s">
        <v>71</v>
      </c>
      <c r="F608" t="s">
        <v>137</v>
      </c>
      <c r="G608" t="s">
        <v>82</v>
      </c>
      <c r="H608" t="s">
        <v>83</v>
      </c>
      <c r="I608" t="s">
        <v>65</v>
      </c>
      <c r="J608" t="s">
        <v>702</v>
      </c>
      <c r="K608">
        <v>2021</v>
      </c>
      <c r="L608">
        <v>3</v>
      </c>
      <c r="M608">
        <v>16</v>
      </c>
      <c r="N608" t="s">
        <v>85</v>
      </c>
      <c r="O608">
        <v>3</v>
      </c>
      <c r="P608">
        <v>2</v>
      </c>
      <c r="Q608" t="s">
        <v>31</v>
      </c>
      <c r="R608">
        <v>12</v>
      </c>
      <c r="S608">
        <v>29</v>
      </c>
      <c r="T608">
        <v>85174</v>
      </c>
      <c r="U608">
        <v>19900</v>
      </c>
      <c r="V608">
        <v>5.5</v>
      </c>
      <c r="W608" t="s">
        <v>31</v>
      </c>
    </row>
    <row r="609" spans="1:23" x14ac:dyDescent="0.3">
      <c r="A609" t="s">
        <v>1185</v>
      </c>
      <c r="B609" t="s">
        <v>2145</v>
      </c>
      <c r="C609">
        <v>34</v>
      </c>
      <c r="D609" t="s">
        <v>33</v>
      </c>
      <c r="E609" t="s">
        <v>56</v>
      </c>
      <c r="F609" t="s">
        <v>47</v>
      </c>
      <c r="G609" t="s">
        <v>52</v>
      </c>
      <c r="H609" t="s">
        <v>208</v>
      </c>
      <c r="I609" t="s">
        <v>27</v>
      </c>
      <c r="J609" t="s">
        <v>683</v>
      </c>
      <c r="K609">
        <v>2022</v>
      </c>
      <c r="L609">
        <v>2</v>
      </c>
      <c r="M609">
        <v>8</v>
      </c>
      <c r="N609" t="s">
        <v>98</v>
      </c>
      <c r="O609">
        <v>1</v>
      </c>
      <c r="P609">
        <v>4</v>
      </c>
      <c r="Q609" t="s">
        <v>31</v>
      </c>
      <c r="R609">
        <v>13</v>
      </c>
      <c r="S609">
        <v>48</v>
      </c>
      <c r="T609">
        <v>72711</v>
      </c>
      <c r="U609">
        <v>5500</v>
      </c>
      <c r="V609">
        <v>13.8</v>
      </c>
      <c r="W609" t="s">
        <v>31</v>
      </c>
    </row>
    <row r="610" spans="1:23" x14ac:dyDescent="0.3">
      <c r="A610" t="s">
        <v>1186</v>
      </c>
      <c r="B610" t="s">
        <v>2013</v>
      </c>
      <c r="C610">
        <v>29</v>
      </c>
      <c r="D610" t="s">
        <v>33</v>
      </c>
      <c r="E610" t="s">
        <v>34</v>
      </c>
      <c r="F610" t="s">
        <v>51</v>
      </c>
      <c r="G610" t="s">
        <v>36</v>
      </c>
      <c r="H610" t="s">
        <v>68</v>
      </c>
      <c r="I610" t="s">
        <v>27</v>
      </c>
      <c r="J610" t="s">
        <v>1187</v>
      </c>
      <c r="K610">
        <v>2024</v>
      </c>
      <c r="L610">
        <v>0</v>
      </c>
      <c r="M610">
        <v>1</v>
      </c>
      <c r="N610" t="s">
        <v>85</v>
      </c>
      <c r="O610">
        <v>5</v>
      </c>
      <c r="P610">
        <v>3</v>
      </c>
      <c r="Q610" t="s">
        <v>30</v>
      </c>
      <c r="R610">
        <v>5</v>
      </c>
      <c r="S610">
        <v>32</v>
      </c>
      <c r="T610">
        <v>74434</v>
      </c>
      <c r="U610">
        <v>16000</v>
      </c>
      <c r="V610">
        <v>3.8</v>
      </c>
      <c r="W610" t="s">
        <v>31</v>
      </c>
    </row>
    <row r="611" spans="1:23" x14ac:dyDescent="0.3">
      <c r="A611" t="s">
        <v>1188</v>
      </c>
      <c r="B611" t="s">
        <v>1983</v>
      </c>
      <c r="C611">
        <v>32</v>
      </c>
      <c r="D611" t="s">
        <v>41</v>
      </c>
      <c r="E611" t="s">
        <v>61</v>
      </c>
      <c r="F611" t="s">
        <v>51</v>
      </c>
      <c r="G611" t="s">
        <v>43</v>
      </c>
      <c r="H611" t="s">
        <v>48</v>
      </c>
      <c r="I611" t="s">
        <v>27</v>
      </c>
      <c r="J611" t="s">
        <v>66</v>
      </c>
      <c r="K611">
        <v>2023</v>
      </c>
      <c r="L611">
        <v>1</v>
      </c>
      <c r="M611">
        <v>4</v>
      </c>
      <c r="N611" t="s">
        <v>39</v>
      </c>
      <c r="O611">
        <v>1</v>
      </c>
      <c r="P611">
        <v>2</v>
      </c>
      <c r="Q611" t="s">
        <v>31</v>
      </c>
      <c r="R611">
        <v>1</v>
      </c>
      <c r="S611">
        <v>49</v>
      </c>
      <c r="T611">
        <v>96493</v>
      </c>
      <c r="U611">
        <v>3000</v>
      </c>
      <c r="V611">
        <v>9</v>
      </c>
      <c r="W611" t="s">
        <v>30</v>
      </c>
    </row>
    <row r="612" spans="1:23" x14ac:dyDescent="0.3">
      <c r="A612" t="s">
        <v>1189</v>
      </c>
      <c r="B612" t="s">
        <v>1851</v>
      </c>
      <c r="C612">
        <v>47</v>
      </c>
      <c r="D612" t="s">
        <v>41</v>
      </c>
      <c r="E612" t="s">
        <v>34</v>
      </c>
      <c r="F612" t="s">
        <v>75</v>
      </c>
      <c r="G612" t="s">
        <v>25</v>
      </c>
      <c r="H612" t="s">
        <v>205</v>
      </c>
      <c r="I612" t="s">
        <v>27</v>
      </c>
      <c r="J612" t="s">
        <v>1190</v>
      </c>
      <c r="K612">
        <v>2021</v>
      </c>
      <c r="L612">
        <v>3</v>
      </c>
      <c r="M612">
        <v>20</v>
      </c>
      <c r="N612" t="s">
        <v>29</v>
      </c>
      <c r="O612">
        <v>1</v>
      </c>
      <c r="P612">
        <v>5</v>
      </c>
      <c r="Q612" t="s">
        <v>31</v>
      </c>
      <c r="R612">
        <v>0</v>
      </c>
      <c r="S612">
        <v>19</v>
      </c>
      <c r="T612">
        <v>64355</v>
      </c>
      <c r="U612">
        <v>8600</v>
      </c>
      <c r="V612">
        <v>11</v>
      </c>
      <c r="W612" t="s">
        <v>31</v>
      </c>
    </row>
    <row r="613" spans="1:23" x14ac:dyDescent="0.3">
      <c r="A613" t="s">
        <v>1191</v>
      </c>
      <c r="B613" t="s">
        <v>1854</v>
      </c>
      <c r="C613">
        <v>29</v>
      </c>
      <c r="D613" t="s">
        <v>33</v>
      </c>
      <c r="E613" t="s">
        <v>34</v>
      </c>
      <c r="F613" t="s">
        <v>137</v>
      </c>
      <c r="G613" t="s">
        <v>43</v>
      </c>
      <c r="H613" t="s">
        <v>96</v>
      </c>
      <c r="I613" t="s">
        <v>79</v>
      </c>
      <c r="J613" t="s">
        <v>1192</v>
      </c>
      <c r="K613">
        <v>2022</v>
      </c>
      <c r="L613">
        <v>2</v>
      </c>
      <c r="M613">
        <v>7</v>
      </c>
      <c r="N613" t="s">
        <v>39</v>
      </c>
      <c r="O613">
        <v>1</v>
      </c>
      <c r="P613">
        <v>2</v>
      </c>
      <c r="Q613" t="s">
        <v>31</v>
      </c>
      <c r="R613">
        <v>19</v>
      </c>
      <c r="S613">
        <v>67</v>
      </c>
      <c r="T613">
        <v>90066</v>
      </c>
      <c r="U613">
        <v>2700</v>
      </c>
      <c r="V613">
        <v>5.7</v>
      </c>
      <c r="W613" t="s">
        <v>31</v>
      </c>
    </row>
    <row r="614" spans="1:23" x14ac:dyDescent="0.3">
      <c r="A614" t="s">
        <v>1193</v>
      </c>
      <c r="B614" t="s">
        <v>2146</v>
      </c>
      <c r="C614">
        <v>31</v>
      </c>
      <c r="D614" t="s">
        <v>33</v>
      </c>
      <c r="E614" t="s">
        <v>71</v>
      </c>
      <c r="F614" t="s">
        <v>57</v>
      </c>
      <c r="G614" t="s">
        <v>100</v>
      </c>
      <c r="H614" t="s">
        <v>101</v>
      </c>
      <c r="I614" t="s">
        <v>27</v>
      </c>
      <c r="J614" t="s">
        <v>816</v>
      </c>
      <c r="K614">
        <v>2023</v>
      </c>
      <c r="L614">
        <v>1</v>
      </c>
      <c r="M614">
        <v>3</v>
      </c>
      <c r="N614" t="s">
        <v>29</v>
      </c>
      <c r="O614">
        <v>1</v>
      </c>
      <c r="P614">
        <v>4</v>
      </c>
      <c r="Q614" t="s">
        <v>30</v>
      </c>
      <c r="R614">
        <v>0</v>
      </c>
      <c r="S614">
        <v>72</v>
      </c>
      <c r="T614">
        <v>41144</v>
      </c>
      <c r="U614">
        <v>4300</v>
      </c>
      <c r="V614">
        <v>14.2</v>
      </c>
      <c r="W614" t="s">
        <v>31</v>
      </c>
    </row>
    <row r="615" spans="1:23" x14ac:dyDescent="0.3">
      <c r="A615" t="s">
        <v>1194</v>
      </c>
      <c r="B615" t="s">
        <v>2045</v>
      </c>
      <c r="C615">
        <v>32</v>
      </c>
      <c r="D615" t="s">
        <v>33</v>
      </c>
      <c r="E615" t="s">
        <v>34</v>
      </c>
      <c r="F615" t="s">
        <v>153</v>
      </c>
      <c r="G615" t="s">
        <v>82</v>
      </c>
      <c r="H615" t="s">
        <v>286</v>
      </c>
      <c r="I615" t="s">
        <v>27</v>
      </c>
      <c r="J615" t="s">
        <v>1054</v>
      </c>
      <c r="K615">
        <v>2021</v>
      </c>
      <c r="L615">
        <v>3</v>
      </c>
      <c r="M615">
        <v>2</v>
      </c>
      <c r="N615" t="s">
        <v>98</v>
      </c>
      <c r="O615">
        <v>2</v>
      </c>
      <c r="P615">
        <v>4</v>
      </c>
      <c r="Q615" t="s">
        <v>31</v>
      </c>
      <c r="R615">
        <v>19</v>
      </c>
      <c r="S615">
        <v>32</v>
      </c>
      <c r="T615">
        <v>87523</v>
      </c>
      <c r="U615">
        <v>6100</v>
      </c>
      <c r="V615">
        <v>9.9</v>
      </c>
      <c r="W615" t="s">
        <v>31</v>
      </c>
    </row>
    <row r="616" spans="1:23" x14ac:dyDescent="0.3">
      <c r="A616" t="s">
        <v>1195</v>
      </c>
      <c r="B616" t="s">
        <v>2147</v>
      </c>
      <c r="C616">
        <v>37</v>
      </c>
      <c r="D616" t="s">
        <v>22</v>
      </c>
      <c r="E616" t="s">
        <v>34</v>
      </c>
      <c r="F616" t="s">
        <v>137</v>
      </c>
      <c r="G616" t="s">
        <v>82</v>
      </c>
      <c r="H616" t="s">
        <v>138</v>
      </c>
      <c r="I616" t="s">
        <v>27</v>
      </c>
      <c r="J616" t="s">
        <v>1196</v>
      </c>
      <c r="K616">
        <v>2022</v>
      </c>
      <c r="L616">
        <v>2</v>
      </c>
      <c r="M616">
        <v>12</v>
      </c>
      <c r="N616" t="s">
        <v>98</v>
      </c>
      <c r="O616">
        <v>3</v>
      </c>
      <c r="P616">
        <v>2</v>
      </c>
      <c r="Q616" t="s">
        <v>30</v>
      </c>
      <c r="R616">
        <v>1</v>
      </c>
      <c r="S616">
        <v>58</v>
      </c>
      <c r="T616">
        <v>86752</v>
      </c>
      <c r="U616">
        <v>7200</v>
      </c>
      <c r="V616">
        <v>7.7</v>
      </c>
      <c r="W616" t="s">
        <v>31</v>
      </c>
    </row>
    <row r="617" spans="1:23" x14ac:dyDescent="0.3">
      <c r="A617" t="s">
        <v>1197</v>
      </c>
      <c r="B617" t="s">
        <v>2148</v>
      </c>
      <c r="C617">
        <v>37</v>
      </c>
      <c r="D617" t="s">
        <v>33</v>
      </c>
      <c r="E617" t="s">
        <v>56</v>
      </c>
      <c r="F617" t="s">
        <v>24</v>
      </c>
      <c r="G617" t="s">
        <v>43</v>
      </c>
      <c r="H617" t="s">
        <v>48</v>
      </c>
      <c r="I617" t="s">
        <v>27</v>
      </c>
      <c r="J617" t="s">
        <v>1198</v>
      </c>
      <c r="K617">
        <v>2022</v>
      </c>
      <c r="L617">
        <v>2</v>
      </c>
      <c r="M617">
        <v>12</v>
      </c>
      <c r="N617" t="s">
        <v>98</v>
      </c>
      <c r="O617">
        <v>4</v>
      </c>
      <c r="P617">
        <v>2</v>
      </c>
      <c r="Q617" t="s">
        <v>31</v>
      </c>
      <c r="R617">
        <v>23</v>
      </c>
      <c r="S617">
        <v>67</v>
      </c>
      <c r="T617">
        <v>125199</v>
      </c>
      <c r="U617">
        <v>8600</v>
      </c>
      <c r="V617">
        <v>8.4</v>
      </c>
      <c r="W617" t="s">
        <v>31</v>
      </c>
    </row>
    <row r="618" spans="1:23" x14ac:dyDescent="0.3">
      <c r="A618" t="s">
        <v>1199</v>
      </c>
      <c r="B618" t="s">
        <v>2083</v>
      </c>
      <c r="C618">
        <v>47</v>
      </c>
      <c r="D618" t="s">
        <v>41</v>
      </c>
      <c r="E618" t="s">
        <v>56</v>
      </c>
      <c r="F618" t="s">
        <v>51</v>
      </c>
      <c r="G618" t="s">
        <v>52</v>
      </c>
      <c r="H618" t="s">
        <v>53</v>
      </c>
      <c r="I618" t="s">
        <v>27</v>
      </c>
      <c r="J618" t="s">
        <v>542</v>
      </c>
      <c r="K618">
        <v>2022</v>
      </c>
      <c r="L618">
        <v>2</v>
      </c>
      <c r="M618">
        <v>20</v>
      </c>
      <c r="N618" t="s">
        <v>98</v>
      </c>
      <c r="O618">
        <v>4</v>
      </c>
      <c r="P618">
        <v>3</v>
      </c>
      <c r="Q618" t="s">
        <v>31</v>
      </c>
      <c r="R618">
        <v>24</v>
      </c>
      <c r="S618">
        <v>79</v>
      </c>
      <c r="T618">
        <v>80927</v>
      </c>
      <c r="U618">
        <v>6300</v>
      </c>
      <c r="V618">
        <v>7.5</v>
      </c>
      <c r="W618" t="s">
        <v>31</v>
      </c>
    </row>
    <row r="619" spans="1:23" x14ac:dyDescent="0.3">
      <c r="A619" t="s">
        <v>1200</v>
      </c>
      <c r="B619" t="s">
        <v>1814</v>
      </c>
      <c r="C619">
        <v>45</v>
      </c>
      <c r="D619" t="s">
        <v>41</v>
      </c>
      <c r="E619" t="s">
        <v>34</v>
      </c>
      <c r="F619" t="s">
        <v>62</v>
      </c>
      <c r="G619" t="s">
        <v>43</v>
      </c>
      <c r="H619" t="s">
        <v>48</v>
      </c>
      <c r="I619" t="s">
        <v>27</v>
      </c>
      <c r="J619" t="s">
        <v>242</v>
      </c>
      <c r="K619">
        <v>2022</v>
      </c>
      <c r="L619">
        <v>2</v>
      </c>
      <c r="M619">
        <v>17</v>
      </c>
      <c r="N619" t="s">
        <v>85</v>
      </c>
      <c r="O619">
        <v>4</v>
      </c>
      <c r="P619">
        <v>5</v>
      </c>
      <c r="Q619" t="s">
        <v>31</v>
      </c>
      <c r="R619">
        <v>6</v>
      </c>
      <c r="S619">
        <v>19</v>
      </c>
      <c r="T619">
        <v>128062</v>
      </c>
      <c r="U619">
        <v>22600</v>
      </c>
      <c r="V619">
        <v>9.8000000000000007</v>
      </c>
      <c r="W619" t="s">
        <v>31</v>
      </c>
    </row>
    <row r="620" spans="1:23" x14ac:dyDescent="0.3">
      <c r="A620" t="s">
        <v>1201</v>
      </c>
      <c r="B620" t="s">
        <v>2149</v>
      </c>
      <c r="C620">
        <v>50</v>
      </c>
      <c r="D620" t="s">
        <v>41</v>
      </c>
      <c r="E620" t="s">
        <v>71</v>
      </c>
      <c r="F620" t="s">
        <v>137</v>
      </c>
      <c r="G620" t="s">
        <v>25</v>
      </c>
      <c r="H620" t="s">
        <v>110</v>
      </c>
      <c r="I620" t="s">
        <v>27</v>
      </c>
      <c r="J620" t="s">
        <v>1016</v>
      </c>
      <c r="K620">
        <v>2022</v>
      </c>
      <c r="L620">
        <v>2</v>
      </c>
      <c r="M620">
        <v>20</v>
      </c>
      <c r="N620" t="s">
        <v>98</v>
      </c>
      <c r="O620">
        <v>1</v>
      </c>
      <c r="P620">
        <v>3</v>
      </c>
      <c r="Q620" t="s">
        <v>31</v>
      </c>
      <c r="R620">
        <v>11</v>
      </c>
      <c r="S620">
        <v>25</v>
      </c>
      <c r="T620">
        <v>57313</v>
      </c>
      <c r="U620">
        <v>4500</v>
      </c>
      <c r="V620">
        <v>4</v>
      </c>
      <c r="W620" t="s">
        <v>30</v>
      </c>
    </row>
    <row r="621" spans="1:23" x14ac:dyDescent="0.3">
      <c r="A621" t="s">
        <v>1202</v>
      </c>
      <c r="B621" t="s">
        <v>2103</v>
      </c>
      <c r="C621">
        <v>40</v>
      </c>
      <c r="D621" t="s">
        <v>33</v>
      </c>
      <c r="E621" t="s">
        <v>71</v>
      </c>
      <c r="F621" t="s">
        <v>153</v>
      </c>
      <c r="G621" t="s">
        <v>43</v>
      </c>
      <c r="H621" t="s">
        <v>44</v>
      </c>
      <c r="I621" t="s">
        <v>27</v>
      </c>
      <c r="J621" t="s">
        <v>1203</v>
      </c>
      <c r="K621">
        <v>2021</v>
      </c>
      <c r="L621">
        <v>3</v>
      </c>
      <c r="M621">
        <v>11</v>
      </c>
      <c r="N621" t="s">
        <v>29</v>
      </c>
      <c r="O621">
        <v>5</v>
      </c>
      <c r="P621">
        <v>4</v>
      </c>
      <c r="Q621" t="s">
        <v>30</v>
      </c>
      <c r="R621">
        <v>5</v>
      </c>
      <c r="S621">
        <v>71</v>
      </c>
      <c r="T621">
        <v>92966</v>
      </c>
      <c r="U621">
        <v>9400</v>
      </c>
      <c r="V621">
        <v>9.6999999999999993</v>
      </c>
      <c r="W621" t="s">
        <v>31</v>
      </c>
    </row>
    <row r="622" spans="1:23" x14ac:dyDescent="0.3">
      <c r="A622" t="s">
        <v>1204</v>
      </c>
      <c r="B622" t="s">
        <v>1879</v>
      </c>
      <c r="C622">
        <v>34</v>
      </c>
      <c r="D622" t="s">
        <v>33</v>
      </c>
      <c r="E622" t="s">
        <v>34</v>
      </c>
      <c r="F622" t="s">
        <v>24</v>
      </c>
      <c r="G622" t="s">
        <v>43</v>
      </c>
      <c r="H622" t="s">
        <v>48</v>
      </c>
      <c r="I622" t="s">
        <v>65</v>
      </c>
      <c r="J622" t="s">
        <v>1205</v>
      </c>
      <c r="K622">
        <v>2022</v>
      </c>
      <c r="L622">
        <v>2</v>
      </c>
      <c r="M622">
        <v>5</v>
      </c>
      <c r="N622" t="s">
        <v>85</v>
      </c>
      <c r="O622">
        <v>5</v>
      </c>
      <c r="P622">
        <v>5</v>
      </c>
      <c r="Q622" t="s">
        <v>30</v>
      </c>
      <c r="R622">
        <v>5</v>
      </c>
      <c r="S622">
        <v>57</v>
      </c>
      <c r="T622">
        <v>75161</v>
      </c>
      <c r="U622">
        <v>14300</v>
      </c>
      <c r="V622">
        <v>7.6</v>
      </c>
      <c r="W622" t="s">
        <v>31</v>
      </c>
    </row>
    <row r="623" spans="1:23" x14ac:dyDescent="0.3">
      <c r="A623" t="s">
        <v>1206</v>
      </c>
      <c r="B623" t="s">
        <v>1965</v>
      </c>
      <c r="C623">
        <v>27</v>
      </c>
      <c r="D623" t="s">
        <v>22</v>
      </c>
      <c r="E623" t="s">
        <v>34</v>
      </c>
      <c r="F623" t="s">
        <v>75</v>
      </c>
      <c r="G623" t="s">
        <v>36</v>
      </c>
      <c r="H623" t="s">
        <v>76</v>
      </c>
      <c r="I623" t="s">
        <v>65</v>
      </c>
      <c r="J623" t="s">
        <v>1004</v>
      </c>
      <c r="K623">
        <v>2023</v>
      </c>
      <c r="L623">
        <v>1</v>
      </c>
      <c r="M623">
        <v>3</v>
      </c>
      <c r="N623" t="s">
        <v>98</v>
      </c>
      <c r="O623">
        <v>3</v>
      </c>
      <c r="P623">
        <v>3</v>
      </c>
      <c r="Q623" t="s">
        <v>31</v>
      </c>
      <c r="R623">
        <v>22</v>
      </c>
      <c r="S623">
        <v>10</v>
      </c>
      <c r="T623">
        <v>64667</v>
      </c>
      <c r="U623">
        <v>5300</v>
      </c>
      <c r="V623">
        <v>4.3</v>
      </c>
      <c r="W623" t="s">
        <v>31</v>
      </c>
    </row>
    <row r="624" spans="1:23" x14ac:dyDescent="0.3">
      <c r="A624" t="s">
        <v>1207</v>
      </c>
      <c r="B624" t="s">
        <v>2069</v>
      </c>
      <c r="C624">
        <v>38</v>
      </c>
      <c r="D624" t="s">
        <v>33</v>
      </c>
      <c r="E624" t="s">
        <v>34</v>
      </c>
      <c r="F624" t="s">
        <v>35</v>
      </c>
      <c r="G624" t="s">
        <v>36</v>
      </c>
      <c r="H624" t="s">
        <v>68</v>
      </c>
      <c r="I624" t="s">
        <v>27</v>
      </c>
      <c r="J624" t="s">
        <v>1208</v>
      </c>
      <c r="K624">
        <v>2021</v>
      </c>
      <c r="L624">
        <v>3</v>
      </c>
      <c r="M624">
        <v>14</v>
      </c>
      <c r="N624" t="s">
        <v>85</v>
      </c>
      <c r="O624">
        <v>2</v>
      </c>
      <c r="P624">
        <v>3</v>
      </c>
      <c r="Q624" t="s">
        <v>31</v>
      </c>
      <c r="R624">
        <v>8</v>
      </c>
      <c r="S624">
        <v>57</v>
      </c>
      <c r="T624">
        <v>61561</v>
      </c>
      <c r="U624">
        <v>11200</v>
      </c>
      <c r="V624">
        <v>9.1999999999999993</v>
      </c>
      <c r="W624" t="s">
        <v>31</v>
      </c>
    </row>
    <row r="625" spans="1:23" x14ac:dyDescent="0.3">
      <c r="A625" t="s">
        <v>1209</v>
      </c>
      <c r="B625" t="s">
        <v>1900</v>
      </c>
      <c r="C625">
        <v>41</v>
      </c>
      <c r="D625" t="s">
        <v>41</v>
      </c>
      <c r="E625" t="s">
        <v>34</v>
      </c>
      <c r="F625" t="s">
        <v>153</v>
      </c>
      <c r="G625" t="s">
        <v>36</v>
      </c>
      <c r="H625" t="s">
        <v>89</v>
      </c>
      <c r="I625" t="s">
        <v>27</v>
      </c>
      <c r="J625" t="s">
        <v>1210</v>
      </c>
      <c r="K625">
        <v>2024</v>
      </c>
      <c r="L625">
        <v>0</v>
      </c>
      <c r="M625">
        <v>11</v>
      </c>
      <c r="N625" t="s">
        <v>85</v>
      </c>
      <c r="O625">
        <v>3</v>
      </c>
      <c r="P625">
        <v>4</v>
      </c>
      <c r="Q625" t="s">
        <v>31</v>
      </c>
      <c r="R625">
        <v>10</v>
      </c>
      <c r="S625">
        <v>46</v>
      </c>
      <c r="T625">
        <v>85905</v>
      </c>
      <c r="U625">
        <v>17700</v>
      </c>
      <c r="V625">
        <v>6.6</v>
      </c>
      <c r="W625" t="s">
        <v>31</v>
      </c>
    </row>
    <row r="626" spans="1:23" x14ac:dyDescent="0.3">
      <c r="A626" t="s">
        <v>1211</v>
      </c>
      <c r="B626" t="s">
        <v>2036</v>
      </c>
      <c r="C626">
        <v>43</v>
      </c>
      <c r="D626" t="s">
        <v>41</v>
      </c>
      <c r="E626" t="s">
        <v>71</v>
      </c>
      <c r="F626" t="s">
        <v>42</v>
      </c>
      <c r="G626" t="s">
        <v>82</v>
      </c>
      <c r="H626" t="s">
        <v>323</v>
      </c>
      <c r="I626" t="s">
        <v>79</v>
      </c>
      <c r="J626" t="s">
        <v>389</v>
      </c>
      <c r="K626">
        <v>2023</v>
      </c>
      <c r="L626">
        <v>1</v>
      </c>
      <c r="M626">
        <v>18</v>
      </c>
      <c r="N626" t="s">
        <v>85</v>
      </c>
      <c r="O626">
        <v>1</v>
      </c>
      <c r="P626">
        <v>2</v>
      </c>
      <c r="Q626" t="s">
        <v>31</v>
      </c>
      <c r="R626">
        <v>24</v>
      </c>
      <c r="S626">
        <v>13</v>
      </c>
      <c r="T626">
        <v>62476</v>
      </c>
      <c r="U626">
        <v>12200</v>
      </c>
      <c r="V626">
        <v>11.1</v>
      </c>
      <c r="W626" t="s">
        <v>31</v>
      </c>
    </row>
    <row r="627" spans="1:23" x14ac:dyDescent="0.3">
      <c r="A627" t="s">
        <v>1212</v>
      </c>
      <c r="B627" t="s">
        <v>2076</v>
      </c>
      <c r="C627">
        <v>31</v>
      </c>
      <c r="D627" t="s">
        <v>41</v>
      </c>
      <c r="E627" t="s">
        <v>56</v>
      </c>
      <c r="F627" t="s">
        <v>62</v>
      </c>
      <c r="G627" t="s">
        <v>52</v>
      </c>
      <c r="H627" t="s">
        <v>53</v>
      </c>
      <c r="I627" t="s">
        <v>27</v>
      </c>
      <c r="J627" t="s">
        <v>1213</v>
      </c>
      <c r="K627">
        <v>2022</v>
      </c>
      <c r="L627">
        <v>2</v>
      </c>
      <c r="M627">
        <v>8</v>
      </c>
      <c r="N627" t="s">
        <v>98</v>
      </c>
      <c r="O627">
        <v>4</v>
      </c>
      <c r="P627">
        <v>3</v>
      </c>
      <c r="Q627" t="s">
        <v>30</v>
      </c>
      <c r="R627">
        <v>21</v>
      </c>
      <c r="S627">
        <v>13</v>
      </c>
      <c r="T627">
        <v>45632</v>
      </c>
      <c r="U627">
        <v>3500</v>
      </c>
      <c r="V627">
        <v>7.1</v>
      </c>
      <c r="W627" t="s">
        <v>31</v>
      </c>
    </row>
    <row r="628" spans="1:23" x14ac:dyDescent="0.3">
      <c r="A628" t="s">
        <v>1214</v>
      </c>
      <c r="B628" t="s">
        <v>1963</v>
      </c>
      <c r="C628">
        <v>25</v>
      </c>
      <c r="D628" t="s">
        <v>41</v>
      </c>
      <c r="E628" t="s">
        <v>34</v>
      </c>
      <c r="F628" t="s">
        <v>51</v>
      </c>
      <c r="G628" t="s">
        <v>36</v>
      </c>
      <c r="H628" t="s">
        <v>76</v>
      </c>
      <c r="I628" t="s">
        <v>79</v>
      </c>
      <c r="J628" t="s">
        <v>1215</v>
      </c>
      <c r="K628">
        <v>2021</v>
      </c>
      <c r="L628">
        <v>3</v>
      </c>
      <c r="M628">
        <v>3</v>
      </c>
      <c r="N628" t="s">
        <v>29</v>
      </c>
      <c r="O628">
        <v>4</v>
      </c>
      <c r="P628">
        <v>5</v>
      </c>
      <c r="Q628" t="s">
        <v>31</v>
      </c>
      <c r="R628">
        <v>22</v>
      </c>
      <c r="S628">
        <v>23</v>
      </c>
      <c r="T628">
        <v>89931</v>
      </c>
      <c r="U628">
        <v>8800</v>
      </c>
      <c r="V628">
        <v>4</v>
      </c>
      <c r="W628" t="s">
        <v>31</v>
      </c>
    </row>
    <row r="629" spans="1:23" x14ac:dyDescent="0.3">
      <c r="A629" t="s">
        <v>1216</v>
      </c>
      <c r="B629" t="s">
        <v>2150</v>
      </c>
      <c r="C629">
        <v>39</v>
      </c>
      <c r="D629" t="s">
        <v>41</v>
      </c>
      <c r="E629" t="s">
        <v>34</v>
      </c>
      <c r="F629" t="s">
        <v>57</v>
      </c>
      <c r="G629" t="s">
        <v>43</v>
      </c>
      <c r="H629" t="s">
        <v>48</v>
      </c>
      <c r="I629" t="s">
        <v>27</v>
      </c>
      <c r="J629" t="s">
        <v>375</v>
      </c>
      <c r="K629">
        <v>2021</v>
      </c>
      <c r="L629">
        <v>3</v>
      </c>
      <c r="M629">
        <v>17</v>
      </c>
      <c r="N629" t="s">
        <v>29</v>
      </c>
      <c r="O629">
        <v>3</v>
      </c>
      <c r="P629">
        <v>2</v>
      </c>
      <c r="Q629" t="s">
        <v>30</v>
      </c>
      <c r="R629">
        <v>5</v>
      </c>
      <c r="S629">
        <v>50</v>
      </c>
      <c r="T629">
        <v>95915</v>
      </c>
      <c r="U629">
        <v>13300</v>
      </c>
      <c r="V629">
        <v>9.9</v>
      </c>
      <c r="W629" t="s">
        <v>31</v>
      </c>
    </row>
    <row r="630" spans="1:23" x14ac:dyDescent="0.3">
      <c r="A630" t="s">
        <v>1217</v>
      </c>
      <c r="B630" t="s">
        <v>1926</v>
      </c>
      <c r="C630">
        <v>36</v>
      </c>
      <c r="D630" t="s">
        <v>33</v>
      </c>
      <c r="E630" t="s">
        <v>71</v>
      </c>
      <c r="F630" t="s">
        <v>137</v>
      </c>
      <c r="G630" t="s">
        <v>82</v>
      </c>
      <c r="H630" t="s">
        <v>138</v>
      </c>
      <c r="I630" t="s">
        <v>27</v>
      </c>
      <c r="J630" t="s">
        <v>1218</v>
      </c>
      <c r="K630">
        <v>2023</v>
      </c>
      <c r="L630">
        <v>1</v>
      </c>
      <c r="M630">
        <v>9</v>
      </c>
      <c r="N630" t="s">
        <v>85</v>
      </c>
      <c r="O630">
        <v>3</v>
      </c>
      <c r="P630">
        <v>1</v>
      </c>
      <c r="Q630" t="s">
        <v>30</v>
      </c>
      <c r="R630">
        <v>19</v>
      </c>
      <c r="S630">
        <v>55</v>
      </c>
      <c r="T630">
        <v>79770</v>
      </c>
      <c r="U630">
        <v>18400</v>
      </c>
      <c r="V630">
        <v>11.2</v>
      </c>
      <c r="W630" t="s">
        <v>31</v>
      </c>
    </row>
    <row r="631" spans="1:23" x14ac:dyDescent="0.3">
      <c r="A631" t="s">
        <v>1219</v>
      </c>
      <c r="B631" t="s">
        <v>2071</v>
      </c>
      <c r="C631">
        <v>30</v>
      </c>
      <c r="D631" t="s">
        <v>33</v>
      </c>
      <c r="E631" t="s">
        <v>71</v>
      </c>
      <c r="F631" t="s">
        <v>24</v>
      </c>
      <c r="G631" t="s">
        <v>25</v>
      </c>
      <c r="H631" t="s">
        <v>26</v>
      </c>
      <c r="I631" t="s">
        <v>27</v>
      </c>
      <c r="J631" t="s">
        <v>1220</v>
      </c>
      <c r="K631">
        <v>2024</v>
      </c>
      <c r="L631">
        <v>0</v>
      </c>
      <c r="M631">
        <v>3</v>
      </c>
      <c r="N631" t="s">
        <v>98</v>
      </c>
      <c r="O631">
        <v>4</v>
      </c>
      <c r="P631">
        <v>3</v>
      </c>
      <c r="Q631" t="s">
        <v>31</v>
      </c>
      <c r="R631">
        <v>15</v>
      </c>
      <c r="S631">
        <v>38</v>
      </c>
      <c r="T631">
        <v>78689</v>
      </c>
      <c r="U631">
        <v>5700</v>
      </c>
      <c r="V631">
        <v>14.5</v>
      </c>
      <c r="W631" t="s">
        <v>31</v>
      </c>
    </row>
    <row r="632" spans="1:23" x14ac:dyDescent="0.3">
      <c r="A632" t="s">
        <v>1221</v>
      </c>
      <c r="B632" t="s">
        <v>2083</v>
      </c>
      <c r="C632">
        <v>29</v>
      </c>
      <c r="D632" t="s">
        <v>41</v>
      </c>
      <c r="E632" t="s">
        <v>34</v>
      </c>
      <c r="F632" t="s">
        <v>51</v>
      </c>
      <c r="G632" t="s">
        <v>117</v>
      </c>
      <c r="H632" t="s">
        <v>118</v>
      </c>
      <c r="I632" t="s">
        <v>27</v>
      </c>
      <c r="J632" t="s">
        <v>409</v>
      </c>
      <c r="K632">
        <v>2022</v>
      </c>
      <c r="L632">
        <v>2</v>
      </c>
      <c r="M632">
        <v>2</v>
      </c>
      <c r="N632" t="s">
        <v>29</v>
      </c>
      <c r="O632">
        <v>2</v>
      </c>
      <c r="P632">
        <v>4</v>
      </c>
      <c r="Q632" t="s">
        <v>31</v>
      </c>
      <c r="R632">
        <v>13</v>
      </c>
      <c r="S632">
        <v>3</v>
      </c>
      <c r="T632">
        <v>85254</v>
      </c>
      <c r="U632">
        <v>11400</v>
      </c>
      <c r="V632">
        <v>14.3</v>
      </c>
      <c r="W632" t="s">
        <v>31</v>
      </c>
    </row>
    <row r="633" spans="1:23" x14ac:dyDescent="0.3">
      <c r="A633" t="s">
        <v>1222</v>
      </c>
      <c r="B633" t="s">
        <v>1912</v>
      </c>
      <c r="C633">
        <v>29</v>
      </c>
      <c r="D633" t="s">
        <v>33</v>
      </c>
      <c r="E633" t="s">
        <v>61</v>
      </c>
      <c r="F633" t="s">
        <v>51</v>
      </c>
      <c r="G633" t="s">
        <v>82</v>
      </c>
      <c r="H633" t="s">
        <v>83</v>
      </c>
      <c r="I633" t="s">
        <v>27</v>
      </c>
      <c r="J633" t="s">
        <v>1223</v>
      </c>
      <c r="K633">
        <v>2022</v>
      </c>
      <c r="L633">
        <v>2</v>
      </c>
      <c r="M633">
        <v>1</v>
      </c>
      <c r="N633" t="s">
        <v>39</v>
      </c>
      <c r="O633">
        <v>3</v>
      </c>
      <c r="P633">
        <v>2</v>
      </c>
      <c r="Q633" t="s">
        <v>30</v>
      </c>
      <c r="R633">
        <v>0</v>
      </c>
      <c r="S633">
        <v>63</v>
      </c>
      <c r="T633">
        <v>88369</v>
      </c>
      <c r="U633">
        <v>2300</v>
      </c>
      <c r="V633">
        <v>14.4</v>
      </c>
      <c r="W633" t="s">
        <v>30</v>
      </c>
    </row>
    <row r="634" spans="1:23" x14ac:dyDescent="0.3">
      <c r="A634" t="s">
        <v>1224</v>
      </c>
      <c r="B634" t="s">
        <v>1885</v>
      </c>
      <c r="C634">
        <v>45</v>
      </c>
      <c r="D634" t="s">
        <v>41</v>
      </c>
      <c r="E634" t="s">
        <v>34</v>
      </c>
      <c r="F634" t="s">
        <v>51</v>
      </c>
      <c r="G634" t="s">
        <v>43</v>
      </c>
      <c r="H634" t="s">
        <v>48</v>
      </c>
      <c r="I634" t="s">
        <v>27</v>
      </c>
      <c r="J634" t="s">
        <v>966</v>
      </c>
      <c r="K634">
        <v>2023</v>
      </c>
      <c r="L634">
        <v>1</v>
      </c>
      <c r="M634">
        <v>16</v>
      </c>
      <c r="N634" t="s">
        <v>29</v>
      </c>
      <c r="O634">
        <v>2</v>
      </c>
      <c r="P634">
        <v>2</v>
      </c>
      <c r="Q634" t="s">
        <v>31</v>
      </c>
      <c r="R634">
        <v>16</v>
      </c>
      <c r="S634">
        <v>63</v>
      </c>
      <c r="T634">
        <v>90948</v>
      </c>
      <c r="U634">
        <v>11600</v>
      </c>
      <c r="V634">
        <v>7.2</v>
      </c>
      <c r="W634" t="s">
        <v>31</v>
      </c>
    </row>
    <row r="635" spans="1:23" x14ac:dyDescent="0.3">
      <c r="A635" t="s">
        <v>1225</v>
      </c>
      <c r="B635" t="s">
        <v>2091</v>
      </c>
      <c r="C635">
        <v>38</v>
      </c>
      <c r="D635" t="s">
        <v>41</v>
      </c>
      <c r="E635" t="s">
        <v>71</v>
      </c>
      <c r="F635" t="s">
        <v>24</v>
      </c>
      <c r="G635" t="s">
        <v>36</v>
      </c>
      <c r="H635" t="s">
        <v>37</v>
      </c>
      <c r="I635" t="s">
        <v>27</v>
      </c>
      <c r="J635" t="s">
        <v>1226</v>
      </c>
      <c r="K635">
        <v>2022</v>
      </c>
      <c r="L635">
        <v>2</v>
      </c>
      <c r="M635">
        <v>10</v>
      </c>
      <c r="N635" t="s">
        <v>85</v>
      </c>
      <c r="O635">
        <v>4</v>
      </c>
      <c r="P635">
        <v>1</v>
      </c>
      <c r="Q635" t="s">
        <v>31</v>
      </c>
      <c r="R635">
        <v>0</v>
      </c>
      <c r="S635">
        <v>57</v>
      </c>
      <c r="T635">
        <v>84263</v>
      </c>
      <c r="U635">
        <v>15400</v>
      </c>
      <c r="V635">
        <v>11.7</v>
      </c>
      <c r="W635" t="s">
        <v>31</v>
      </c>
    </row>
    <row r="636" spans="1:23" x14ac:dyDescent="0.3">
      <c r="A636" t="s">
        <v>1227</v>
      </c>
      <c r="B636" t="s">
        <v>1814</v>
      </c>
      <c r="C636">
        <v>42</v>
      </c>
      <c r="D636" t="s">
        <v>41</v>
      </c>
      <c r="E636" t="s">
        <v>71</v>
      </c>
      <c r="F636" t="s">
        <v>62</v>
      </c>
      <c r="G636" t="s">
        <v>36</v>
      </c>
      <c r="H636" t="s">
        <v>68</v>
      </c>
      <c r="I636" t="s">
        <v>65</v>
      </c>
      <c r="J636" t="s">
        <v>1226</v>
      </c>
      <c r="K636">
        <v>2022</v>
      </c>
      <c r="L636">
        <v>2</v>
      </c>
      <c r="M636">
        <v>16</v>
      </c>
      <c r="N636" t="s">
        <v>98</v>
      </c>
      <c r="O636">
        <v>2</v>
      </c>
      <c r="P636">
        <v>5</v>
      </c>
      <c r="Q636" t="s">
        <v>31</v>
      </c>
      <c r="R636">
        <v>19</v>
      </c>
      <c r="S636">
        <v>30</v>
      </c>
      <c r="T636">
        <v>82828</v>
      </c>
      <c r="U636">
        <v>6300</v>
      </c>
      <c r="V636">
        <v>13.8</v>
      </c>
      <c r="W636" t="s">
        <v>31</v>
      </c>
    </row>
    <row r="637" spans="1:23" x14ac:dyDescent="0.3">
      <c r="A637" t="s">
        <v>1228</v>
      </c>
      <c r="B637" t="s">
        <v>1896</v>
      </c>
      <c r="C637">
        <v>32</v>
      </c>
      <c r="D637" t="s">
        <v>41</v>
      </c>
      <c r="E637" t="s">
        <v>61</v>
      </c>
      <c r="F637" t="s">
        <v>47</v>
      </c>
      <c r="G637" t="s">
        <v>43</v>
      </c>
      <c r="H637" t="s">
        <v>44</v>
      </c>
      <c r="I637" t="s">
        <v>27</v>
      </c>
      <c r="J637" t="s">
        <v>728</v>
      </c>
      <c r="K637">
        <v>2021</v>
      </c>
      <c r="L637">
        <v>3</v>
      </c>
      <c r="M637">
        <v>4</v>
      </c>
      <c r="N637" t="s">
        <v>85</v>
      </c>
      <c r="O637">
        <v>4</v>
      </c>
      <c r="P637">
        <v>2</v>
      </c>
      <c r="Q637" t="s">
        <v>31</v>
      </c>
      <c r="R637">
        <v>24</v>
      </c>
      <c r="S637">
        <v>35</v>
      </c>
      <c r="T637">
        <v>112159</v>
      </c>
      <c r="U637">
        <v>22400</v>
      </c>
      <c r="V637">
        <v>10.199999999999999</v>
      </c>
      <c r="W637" t="s">
        <v>31</v>
      </c>
    </row>
    <row r="638" spans="1:23" x14ac:dyDescent="0.3">
      <c r="A638" t="s">
        <v>1229</v>
      </c>
      <c r="B638" t="s">
        <v>2151</v>
      </c>
      <c r="C638">
        <v>28</v>
      </c>
      <c r="D638" t="s">
        <v>41</v>
      </c>
      <c r="E638" t="s">
        <v>34</v>
      </c>
      <c r="F638" t="s">
        <v>62</v>
      </c>
      <c r="G638" t="s">
        <v>36</v>
      </c>
      <c r="H638" t="s">
        <v>37</v>
      </c>
      <c r="I638" t="s">
        <v>79</v>
      </c>
      <c r="J638" t="s">
        <v>102</v>
      </c>
      <c r="K638">
        <v>2024</v>
      </c>
      <c r="L638">
        <v>0</v>
      </c>
      <c r="M638">
        <v>1</v>
      </c>
      <c r="N638" t="s">
        <v>29</v>
      </c>
      <c r="O638">
        <v>2</v>
      </c>
      <c r="P638">
        <v>2</v>
      </c>
      <c r="Q638" t="s">
        <v>31</v>
      </c>
      <c r="R638">
        <v>19</v>
      </c>
      <c r="S638">
        <v>77</v>
      </c>
      <c r="T638">
        <v>85675</v>
      </c>
      <c r="U638">
        <v>8800</v>
      </c>
      <c r="V638">
        <v>6.3</v>
      </c>
      <c r="W638" t="s">
        <v>31</v>
      </c>
    </row>
    <row r="639" spans="1:23" x14ac:dyDescent="0.3">
      <c r="A639" t="s">
        <v>1230</v>
      </c>
      <c r="B639" t="s">
        <v>2072</v>
      </c>
      <c r="C639">
        <v>43</v>
      </c>
      <c r="D639" t="s">
        <v>41</v>
      </c>
      <c r="E639" t="s">
        <v>34</v>
      </c>
      <c r="F639" t="s">
        <v>137</v>
      </c>
      <c r="G639" t="s">
        <v>36</v>
      </c>
      <c r="H639" t="s">
        <v>76</v>
      </c>
      <c r="I639" t="s">
        <v>27</v>
      </c>
      <c r="J639" t="s">
        <v>1231</v>
      </c>
      <c r="K639">
        <v>2022</v>
      </c>
      <c r="L639">
        <v>2</v>
      </c>
      <c r="M639">
        <v>17</v>
      </c>
      <c r="N639" t="s">
        <v>29</v>
      </c>
      <c r="O639">
        <v>4</v>
      </c>
      <c r="P639">
        <v>1</v>
      </c>
      <c r="Q639" t="s">
        <v>30</v>
      </c>
      <c r="R639">
        <v>11</v>
      </c>
      <c r="S639">
        <v>59</v>
      </c>
      <c r="T639">
        <v>69642</v>
      </c>
      <c r="U639">
        <v>9400</v>
      </c>
      <c r="V639">
        <v>3.1</v>
      </c>
      <c r="W639" t="s">
        <v>31</v>
      </c>
    </row>
    <row r="640" spans="1:23" x14ac:dyDescent="0.3">
      <c r="A640" t="s">
        <v>1232</v>
      </c>
      <c r="B640" t="s">
        <v>1809</v>
      </c>
      <c r="C640">
        <v>34</v>
      </c>
      <c r="D640" t="s">
        <v>41</v>
      </c>
      <c r="E640" t="s">
        <v>56</v>
      </c>
      <c r="F640" t="s">
        <v>137</v>
      </c>
      <c r="G640" t="s">
        <v>82</v>
      </c>
      <c r="H640" t="s">
        <v>83</v>
      </c>
      <c r="I640" t="s">
        <v>27</v>
      </c>
      <c r="J640" t="s">
        <v>926</v>
      </c>
      <c r="K640">
        <v>2022</v>
      </c>
      <c r="L640">
        <v>2</v>
      </c>
      <c r="M640">
        <v>11</v>
      </c>
      <c r="N640" t="s">
        <v>29</v>
      </c>
      <c r="O640">
        <v>3</v>
      </c>
      <c r="P640">
        <v>5</v>
      </c>
      <c r="Q640" t="s">
        <v>30</v>
      </c>
      <c r="R640">
        <v>15</v>
      </c>
      <c r="S640">
        <v>47</v>
      </c>
      <c r="T640">
        <v>74880</v>
      </c>
      <c r="U640">
        <v>9700</v>
      </c>
      <c r="V640">
        <v>8.4</v>
      </c>
      <c r="W640" t="s">
        <v>31</v>
      </c>
    </row>
    <row r="641" spans="1:23" x14ac:dyDescent="0.3">
      <c r="A641" t="s">
        <v>1233</v>
      </c>
      <c r="B641" t="s">
        <v>1962</v>
      </c>
      <c r="C641">
        <v>39</v>
      </c>
      <c r="D641" t="s">
        <v>41</v>
      </c>
      <c r="E641" t="s">
        <v>34</v>
      </c>
      <c r="F641" t="s">
        <v>35</v>
      </c>
      <c r="G641" t="s">
        <v>43</v>
      </c>
      <c r="H641" t="s">
        <v>44</v>
      </c>
      <c r="I641" t="s">
        <v>27</v>
      </c>
      <c r="J641" t="s">
        <v>1234</v>
      </c>
      <c r="K641">
        <v>2021</v>
      </c>
      <c r="L641">
        <v>3</v>
      </c>
      <c r="M641">
        <v>11</v>
      </c>
      <c r="N641" t="s">
        <v>29</v>
      </c>
      <c r="O641">
        <v>1</v>
      </c>
      <c r="P641">
        <v>2</v>
      </c>
      <c r="Q641" t="s">
        <v>31</v>
      </c>
      <c r="R641">
        <v>4</v>
      </c>
      <c r="S641">
        <v>13</v>
      </c>
      <c r="T641">
        <v>74526</v>
      </c>
      <c r="U641">
        <v>8300</v>
      </c>
      <c r="V641">
        <v>12.1</v>
      </c>
      <c r="W641" t="s">
        <v>30</v>
      </c>
    </row>
    <row r="642" spans="1:23" x14ac:dyDescent="0.3">
      <c r="A642" t="s">
        <v>1235</v>
      </c>
      <c r="B642" t="s">
        <v>2015</v>
      </c>
      <c r="C642">
        <v>31</v>
      </c>
      <c r="D642" t="s">
        <v>33</v>
      </c>
      <c r="E642" t="s">
        <v>34</v>
      </c>
      <c r="F642" t="s">
        <v>35</v>
      </c>
      <c r="G642" t="s">
        <v>117</v>
      </c>
      <c r="H642" t="s">
        <v>198</v>
      </c>
      <c r="I642" t="s">
        <v>27</v>
      </c>
      <c r="J642" t="s">
        <v>1236</v>
      </c>
      <c r="K642">
        <v>2023</v>
      </c>
      <c r="L642">
        <v>1</v>
      </c>
      <c r="M642">
        <v>3</v>
      </c>
      <c r="N642" t="s">
        <v>29</v>
      </c>
      <c r="O642">
        <v>1</v>
      </c>
      <c r="P642">
        <v>2</v>
      </c>
      <c r="Q642" t="s">
        <v>31</v>
      </c>
      <c r="R642">
        <v>14</v>
      </c>
      <c r="S642">
        <v>20</v>
      </c>
      <c r="T642">
        <v>59559</v>
      </c>
      <c r="U642">
        <v>7300</v>
      </c>
      <c r="V642">
        <v>9.3000000000000007</v>
      </c>
      <c r="W642" t="s">
        <v>31</v>
      </c>
    </row>
    <row r="643" spans="1:23" x14ac:dyDescent="0.3">
      <c r="A643" t="s">
        <v>1237</v>
      </c>
      <c r="B643" t="s">
        <v>1978</v>
      </c>
      <c r="C643">
        <v>40</v>
      </c>
      <c r="D643" t="s">
        <v>33</v>
      </c>
      <c r="E643" t="s">
        <v>34</v>
      </c>
      <c r="F643" t="s">
        <v>35</v>
      </c>
      <c r="G643" t="s">
        <v>100</v>
      </c>
      <c r="H643" t="s">
        <v>150</v>
      </c>
      <c r="I643" t="s">
        <v>27</v>
      </c>
      <c r="J643" t="s">
        <v>1238</v>
      </c>
      <c r="K643">
        <v>2022</v>
      </c>
      <c r="L643">
        <v>2</v>
      </c>
      <c r="M643">
        <v>18</v>
      </c>
      <c r="N643" t="s">
        <v>29</v>
      </c>
      <c r="O643">
        <v>3</v>
      </c>
      <c r="P643">
        <v>4</v>
      </c>
      <c r="Q643" t="s">
        <v>31</v>
      </c>
      <c r="R643">
        <v>24</v>
      </c>
      <c r="S643">
        <v>50</v>
      </c>
      <c r="T643">
        <v>54779</v>
      </c>
      <c r="U643">
        <v>5400</v>
      </c>
      <c r="V643">
        <v>12.1</v>
      </c>
      <c r="W643" t="s">
        <v>31</v>
      </c>
    </row>
    <row r="644" spans="1:23" x14ac:dyDescent="0.3">
      <c r="A644" t="s">
        <v>1239</v>
      </c>
      <c r="B644" t="s">
        <v>1923</v>
      </c>
      <c r="C644">
        <v>44</v>
      </c>
      <c r="D644" t="s">
        <v>41</v>
      </c>
      <c r="E644" t="s">
        <v>34</v>
      </c>
      <c r="F644" t="s">
        <v>62</v>
      </c>
      <c r="G644" t="s">
        <v>25</v>
      </c>
      <c r="H644" t="s">
        <v>26</v>
      </c>
      <c r="I644" t="s">
        <v>79</v>
      </c>
      <c r="J644" t="s">
        <v>553</v>
      </c>
      <c r="K644">
        <v>2021</v>
      </c>
      <c r="L644">
        <v>3</v>
      </c>
      <c r="M644">
        <v>14</v>
      </c>
      <c r="N644" t="s">
        <v>29</v>
      </c>
      <c r="O644">
        <v>5</v>
      </c>
      <c r="P644">
        <v>2</v>
      </c>
      <c r="Q644" t="s">
        <v>31</v>
      </c>
      <c r="R644">
        <v>12</v>
      </c>
      <c r="S644">
        <v>27</v>
      </c>
      <c r="T644">
        <v>68115</v>
      </c>
      <c r="U644">
        <v>7200</v>
      </c>
      <c r="V644">
        <v>10</v>
      </c>
      <c r="W644" t="s">
        <v>30</v>
      </c>
    </row>
    <row r="645" spans="1:23" x14ac:dyDescent="0.3">
      <c r="A645" t="s">
        <v>1240</v>
      </c>
      <c r="B645" t="s">
        <v>2143</v>
      </c>
      <c r="C645">
        <v>42</v>
      </c>
      <c r="D645" t="s">
        <v>33</v>
      </c>
      <c r="E645" t="s">
        <v>34</v>
      </c>
      <c r="F645" t="s">
        <v>47</v>
      </c>
      <c r="G645" t="s">
        <v>36</v>
      </c>
      <c r="H645" t="s">
        <v>37</v>
      </c>
      <c r="I645" t="s">
        <v>27</v>
      </c>
      <c r="J645" t="s">
        <v>1241</v>
      </c>
      <c r="K645">
        <v>2023</v>
      </c>
      <c r="L645">
        <v>1</v>
      </c>
      <c r="M645">
        <v>12</v>
      </c>
      <c r="N645" t="s">
        <v>98</v>
      </c>
      <c r="O645">
        <v>4</v>
      </c>
      <c r="P645">
        <v>5</v>
      </c>
      <c r="Q645" t="s">
        <v>31</v>
      </c>
      <c r="R645">
        <v>20</v>
      </c>
      <c r="S645">
        <v>65</v>
      </c>
      <c r="T645">
        <v>58211</v>
      </c>
      <c r="U645">
        <v>3700</v>
      </c>
      <c r="V645">
        <v>5.3</v>
      </c>
      <c r="W645" t="s">
        <v>31</v>
      </c>
    </row>
    <row r="646" spans="1:23" x14ac:dyDescent="0.3">
      <c r="A646" t="s">
        <v>1242</v>
      </c>
      <c r="B646" t="s">
        <v>2079</v>
      </c>
      <c r="C646">
        <v>32</v>
      </c>
      <c r="D646" t="s">
        <v>41</v>
      </c>
      <c r="E646" t="s">
        <v>61</v>
      </c>
      <c r="F646" t="s">
        <v>24</v>
      </c>
      <c r="G646" t="s">
        <v>63</v>
      </c>
      <c r="H646" t="s">
        <v>225</v>
      </c>
      <c r="I646" t="s">
        <v>27</v>
      </c>
      <c r="J646" t="s">
        <v>1142</v>
      </c>
      <c r="K646">
        <v>2024</v>
      </c>
      <c r="L646">
        <v>0</v>
      </c>
      <c r="M646">
        <v>7</v>
      </c>
      <c r="N646" t="s">
        <v>98</v>
      </c>
      <c r="O646">
        <v>2</v>
      </c>
      <c r="P646">
        <v>5</v>
      </c>
      <c r="Q646" t="s">
        <v>31</v>
      </c>
      <c r="R646">
        <v>8</v>
      </c>
      <c r="S646">
        <v>27</v>
      </c>
      <c r="T646">
        <v>59107</v>
      </c>
      <c r="U646">
        <v>4700</v>
      </c>
      <c r="V646">
        <v>11.1</v>
      </c>
      <c r="W646" t="s">
        <v>31</v>
      </c>
    </row>
    <row r="647" spans="1:23" x14ac:dyDescent="0.3">
      <c r="A647" t="s">
        <v>1243</v>
      </c>
      <c r="B647" t="s">
        <v>2149</v>
      </c>
      <c r="C647">
        <v>44</v>
      </c>
      <c r="D647" t="s">
        <v>41</v>
      </c>
      <c r="E647" t="s">
        <v>71</v>
      </c>
      <c r="F647" t="s">
        <v>75</v>
      </c>
      <c r="G647" t="s">
        <v>82</v>
      </c>
      <c r="H647" t="s">
        <v>286</v>
      </c>
      <c r="I647" t="s">
        <v>27</v>
      </c>
      <c r="J647" t="s">
        <v>1244</v>
      </c>
      <c r="K647">
        <v>2022</v>
      </c>
      <c r="L647">
        <v>2</v>
      </c>
      <c r="M647">
        <v>16</v>
      </c>
      <c r="N647" t="s">
        <v>39</v>
      </c>
      <c r="O647">
        <v>1</v>
      </c>
      <c r="P647">
        <v>1</v>
      </c>
      <c r="Q647" t="s">
        <v>30</v>
      </c>
      <c r="R647">
        <v>0</v>
      </c>
      <c r="S647">
        <v>79</v>
      </c>
      <c r="T647">
        <v>75007</v>
      </c>
      <c r="U647">
        <v>2300</v>
      </c>
      <c r="V647">
        <v>5</v>
      </c>
      <c r="W647" t="s">
        <v>31</v>
      </c>
    </row>
    <row r="648" spans="1:23" x14ac:dyDescent="0.3">
      <c r="A648" t="s">
        <v>1245</v>
      </c>
      <c r="B648" t="s">
        <v>1854</v>
      </c>
      <c r="C648">
        <v>37</v>
      </c>
      <c r="D648" t="s">
        <v>33</v>
      </c>
      <c r="E648" t="s">
        <v>34</v>
      </c>
      <c r="F648" t="s">
        <v>153</v>
      </c>
      <c r="G648" t="s">
        <v>63</v>
      </c>
      <c r="H648" t="s">
        <v>310</v>
      </c>
      <c r="I648" t="s">
        <v>27</v>
      </c>
      <c r="J648" t="s">
        <v>1246</v>
      </c>
      <c r="K648">
        <v>2021</v>
      </c>
      <c r="L648">
        <v>3</v>
      </c>
      <c r="M648">
        <v>13</v>
      </c>
      <c r="N648" t="s">
        <v>29</v>
      </c>
      <c r="O648">
        <v>3</v>
      </c>
      <c r="P648">
        <v>1</v>
      </c>
      <c r="Q648" t="s">
        <v>30</v>
      </c>
      <c r="R648">
        <v>3</v>
      </c>
      <c r="S648">
        <v>38</v>
      </c>
      <c r="T648">
        <v>47060</v>
      </c>
      <c r="U648">
        <v>4900</v>
      </c>
      <c r="V648">
        <v>8.1</v>
      </c>
      <c r="W648" t="s">
        <v>31</v>
      </c>
    </row>
    <row r="649" spans="1:23" x14ac:dyDescent="0.3">
      <c r="A649" t="s">
        <v>1247</v>
      </c>
      <c r="B649" t="s">
        <v>1935</v>
      </c>
      <c r="C649">
        <v>30</v>
      </c>
      <c r="D649" t="s">
        <v>41</v>
      </c>
      <c r="E649" t="s">
        <v>34</v>
      </c>
      <c r="F649" t="s">
        <v>47</v>
      </c>
      <c r="G649" t="s">
        <v>100</v>
      </c>
      <c r="H649" t="s">
        <v>145</v>
      </c>
      <c r="I649" t="s">
        <v>27</v>
      </c>
      <c r="J649" t="s">
        <v>1248</v>
      </c>
      <c r="K649">
        <v>2022</v>
      </c>
      <c r="L649">
        <v>2</v>
      </c>
      <c r="M649">
        <v>1</v>
      </c>
      <c r="N649" t="s">
        <v>85</v>
      </c>
      <c r="O649">
        <v>5</v>
      </c>
      <c r="P649">
        <v>4</v>
      </c>
      <c r="Q649" t="s">
        <v>31</v>
      </c>
      <c r="R649">
        <v>2</v>
      </c>
      <c r="S649">
        <v>19</v>
      </c>
      <c r="T649">
        <v>47378</v>
      </c>
      <c r="U649">
        <v>8500</v>
      </c>
      <c r="V649">
        <v>13.4</v>
      </c>
      <c r="W649" t="s">
        <v>31</v>
      </c>
    </row>
    <row r="650" spans="1:23" x14ac:dyDescent="0.3">
      <c r="A650" t="s">
        <v>1249</v>
      </c>
      <c r="B650" t="s">
        <v>2041</v>
      </c>
      <c r="C650">
        <v>43</v>
      </c>
      <c r="D650" t="s">
        <v>41</v>
      </c>
      <c r="E650" t="s">
        <v>34</v>
      </c>
      <c r="F650" t="s">
        <v>47</v>
      </c>
      <c r="G650" t="s">
        <v>82</v>
      </c>
      <c r="H650" t="s">
        <v>83</v>
      </c>
      <c r="I650" t="s">
        <v>27</v>
      </c>
      <c r="J650" t="s">
        <v>1250</v>
      </c>
      <c r="K650">
        <v>2021</v>
      </c>
      <c r="L650">
        <v>3</v>
      </c>
      <c r="M650">
        <v>14</v>
      </c>
      <c r="N650" t="s">
        <v>29</v>
      </c>
      <c r="O650">
        <v>2</v>
      </c>
      <c r="P650">
        <v>3</v>
      </c>
      <c r="Q650" t="s">
        <v>30</v>
      </c>
      <c r="R650">
        <v>0</v>
      </c>
      <c r="S650">
        <v>34</v>
      </c>
      <c r="T650">
        <v>45869</v>
      </c>
      <c r="U650">
        <v>4500</v>
      </c>
      <c r="V650">
        <v>3.8</v>
      </c>
      <c r="W650" t="s">
        <v>31</v>
      </c>
    </row>
    <row r="651" spans="1:23" x14ac:dyDescent="0.3">
      <c r="A651" t="s">
        <v>1251</v>
      </c>
      <c r="B651" t="s">
        <v>2152</v>
      </c>
      <c r="C651">
        <v>47</v>
      </c>
      <c r="D651" t="s">
        <v>41</v>
      </c>
      <c r="E651" t="s">
        <v>71</v>
      </c>
      <c r="F651" t="s">
        <v>24</v>
      </c>
      <c r="G651" t="s">
        <v>43</v>
      </c>
      <c r="H651" t="s">
        <v>44</v>
      </c>
      <c r="I651" t="s">
        <v>27</v>
      </c>
      <c r="J651" t="s">
        <v>1252</v>
      </c>
      <c r="K651">
        <v>2021</v>
      </c>
      <c r="L651">
        <v>3</v>
      </c>
      <c r="M651">
        <v>19</v>
      </c>
      <c r="N651" t="s">
        <v>98</v>
      </c>
      <c r="O651">
        <v>4</v>
      </c>
      <c r="P651">
        <v>5</v>
      </c>
      <c r="Q651" t="s">
        <v>30</v>
      </c>
      <c r="R651">
        <v>5</v>
      </c>
      <c r="S651">
        <v>47</v>
      </c>
      <c r="T651">
        <v>134032</v>
      </c>
      <c r="U651">
        <v>10200</v>
      </c>
      <c r="V651">
        <v>11.9</v>
      </c>
      <c r="W651" t="s">
        <v>31</v>
      </c>
    </row>
    <row r="652" spans="1:23" x14ac:dyDescent="0.3">
      <c r="A652" t="s">
        <v>1253</v>
      </c>
      <c r="B652" t="s">
        <v>2153</v>
      </c>
      <c r="C652">
        <v>40</v>
      </c>
      <c r="D652" t="s">
        <v>33</v>
      </c>
      <c r="E652" t="s">
        <v>34</v>
      </c>
      <c r="F652" t="s">
        <v>51</v>
      </c>
      <c r="G652" t="s">
        <v>36</v>
      </c>
      <c r="H652" t="s">
        <v>68</v>
      </c>
      <c r="I652" t="s">
        <v>27</v>
      </c>
      <c r="J652" t="s">
        <v>1254</v>
      </c>
      <c r="K652">
        <v>2023</v>
      </c>
      <c r="L652">
        <v>1</v>
      </c>
      <c r="M652">
        <v>12</v>
      </c>
      <c r="N652" t="s">
        <v>29</v>
      </c>
      <c r="O652">
        <v>4</v>
      </c>
      <c r="P652">
        <v>3</v>
      </c>
      <c r="Q652" t="s">
        <v>31</v>
      </c>
      <c r="R652">
        <v>13</v>
      </c>
      <c r="S652">
        <v>11</v>
      </c>
      <c r="T652">
        <v>71331</v>
      </c>
      <c r="U652">
        <v>10200</v>
      </c>
      <c r="V652">
        <v>12.2</v>
      </c>
      <c r="W652" t="s">
        <v>31</v>
      </c>
    </row>
    <row r="653" spans="1:23" x14ac:dyDescent="0.3">
      <c r="A653" t="s">
        <v>1255</v>
      </c>
      <c r="B653" t="s">
        <v>2063</v>
      </c>
      <c r="C653">
        <v>45</v>
      </c>
      <c r="D653" t="s">
        <v>33</v>
      </c>
      <c r="E653" t="s">
        <v>56</v>
      </c>
      <c r="F653" t="s">
        <v>24</v>
      </c>
      <c r="G653" t="s">
        <v>36</v>
      </c>
      <c r="H653" t="s">
        <v>68</v>
      </c>
      <c r="I653" t="s">
        <v>27</v>
      </c>
      <c r="J653" t="s">
        <v>1106</v>
      </c>
      <c r="K653">
        <v>2023</v>
      </c>
      <c r="L653">
        <v>1</v>
      </c>
      <c r="M653">
        <v>15</v>
      </c>
      <c r="N653" t="s">
        <v>98</v>
      </c>
      <c r="O653">
        <v>2</v>
      </c>
      <c r="P653">
        <v>5</v>
      </c>
      <c r="Q653" t="s">
        <v>30</v>
      </c>
      <c r="R653">
        <v>4</v>
      </c>
      <c r="S653">
        <v>26</v>
      </c>
      <c r="T653">
        <v>55766</v>
      </c>
      <c r="U653">
        <v>3700</v>
      </c>
      <c r="V653">
        <v>14</v>
      </c>
      <c r="W653" t="s">
        <v>31</v>
      </c>
    </row>
    <row r="654" spans="1:23" x14ac:dyDescent="0.3">
      <c r="A654" t="s">
        <v>1256</v>
      </c>
      <c r="B654" t="s">
        <v>1894</v>
      </c>
      <c r="C654">
        <v>32</v>
      </c>
      <c r="D654" t="s">
        <v>41</v>
      </c>
      <c r="E654" t="s">
        <v>34</v>
      </c>
      <c r="F654" t="s">
        <v>24</v>
      </c>
      <c r="G654" t="s">
        <v>117</v>
      </c>
      <c r="H654" t="s">
        <v>118</v>
      </c>
      <c r="I654" t="s">
        <v>27</v>
      </c>
      <c r="J654" t="s">
        <v>1257</v>
      </c>
      <c r="K654">
        <v>2021</v>
      </c>
      <c r="L654">
        <v>3</v>
      </c>
      <c r="M654">
        <v>2</v>
      </c>
      <c r="N654" t="s">
        <v>29</v>
      </c>
      <c r="O654">
        <v>3</v>
      </c>
      <c r="P654">
        <v>3</v>
      </c>
      <c r="Q654" t="s">
        <v>31</v>
      </c>
      <c r="R654">
        <v>17</v>
      </c>
      <c r="S654">
        <v>50</v>
      </c>
      <c r="T654">
        <v>55264</v>
      </c>
      <c r="U654">
        <v>6800</v>
      </c>
      <c r="V654">
        <v>14.3</v>
      </c>
      <c r="W654" t="s">
        <v>31</v>
      </c>
    </row>
    <row r="655" spans="1:23" x14ac:dyDescent="0.3">
      <c r="A655" t="s">
        <v>1258</v>
      </c>
      <c r="B655" t="s">
        <v>1865</v>
      </c>
      <c r="C655">
        <v>29</v>
      </c>
      <c r="D655" t="s">
        <v>41</v>
      </c>
      <c r="E655" t="s">
        <v>71</v>
      </c>
      <c r="F655" t="s">
        <v>42</v>
      </c>
      <c r="G655" t="s">
        <v>82</v>
      </c>
      <c r="H655" t="s">
        <v>323</v>
      </c>
      <c r="I655" t="s">
        <v>27</v>
      </c>
      <c r="J655" t="s">
        <v>1259</v>
      </c>
      <c r="K655">
        <v>2024</v>
      </c>
      <c r="L655">
        <v>0</v>
      </c>
      <c r="M655">
        <v>4</v>
      </c>
      <c r="N655" t="s">
        <v>85</v>
      </c>
      <c r="O655">
        <v>4</v>
      </c>
      <c r="P655">
        <v>2</v>
      </c>
      <c r="Q655" t="s">
        <v>31</v>
      </c>
      <c r="R655">
        <v>2</v>
      </c>
      <c r="S655">
        <v>39</v>
      </c>
      <c r="T655">
        <v>74730</v>
      </c>
      <c r="U655">
        <v>16100</v>
      </c>
      <c r="V655">
        <v>12</v>
      </c>
      <c r="W655" t="s">
        <v>31</v>
      </c>
    </row>
    <row r="656" spans="1:23" x14ac:dyDescent="0.3">
      <c r="A656" t="s">
        <v>1260</v>
      </c>
      <c r="B656" t="s">
        <v>2103</v>
      </c>
      <c r="C656">
        <v>29</v>
      </c>
      <c r="D656" t="s">
        <v>33</v>
      </c>
      <c r="E656" t="s">
        <v>34</v>
      </c>
      <c r="F656" t="s">
        <v>51</v>
      </c>
      <c r="G656" t="s">
        <v>52</v>
      </c>
      <c r="H656" t="s">
        <v>53</v>
      </c>
      <c r="I656" t="s">
        <v>65</v>
      </c>
      <c r="J656" t="s">
        <v>156</v>
      </c>
      <c r="K656">
        <v>2022</v>
      </c>
      <c r="L656">
        <v>2</v>
      </c>
      <c r="M656">
        <v>4</v>
      </c>
      <c r="N656" t="s">
        <v>29</v>
      </c>
      <c r="O656">
        <v>4</v>
      </c>
      <c r="P656">
        <v>3</v>
      </c>
      <c r="Q656" t="s">
        <v>30</v>
      </c>
      <c r="R656">
        <v>21</v>
      </c>
      <c r="S656">
        <v>51</v>
      </c>
      <c r="T656">
        <v>47038</v>
      </c>
      <c r="U656">
        <v>5000</v>
      </c>
      <c r="V656">
        <v>12.9</v>
      </c>
      <c r="W656" t="s">
        <v>31</v>
      </c>
    </row>
    <row r="657" spans="1:23" x14ac:dyDescent="0.3">
      <c r="A657" t="s">
        <v>1261</v>
      </c>
      <c r="B657" t="s">
        <v>2154</v>
      </c>
      <c r="C657">
        <v>38</v>
      </c>
      <c r="D657" t="s">
        <v>33</v>
      </c>
      <c r="E657" t="s">
        <v>71</v>
      </c>
      <c r="F657" t="s">
        <v>24</v>
      </c>
      <c r="G657" t="s">
        <v>43</v>
      </c>
      <c r="H657" t="s">
        <v>72</v>
      </c>
      <c r="I657" t="s">
        <v>27</v>
      </c>
      <c r="J657" t="s">
        <v>1262</v>
      </c>
      <c r="K657">
        <v>2024</v>
      </c>
      <c r="L657">
        <v>0</v>
      </c>
      <c r="M657">
        <v>10</v>
      </c>
      <c r="N657" t="s">
        <v>29</v>
      </c>
      <c r="O657">
        <v>4</v>
      </c>
      <c r="P657">
        <v>4</v>
      </c>
      <c r="Q657" t="s">
        <v>31</v>
      </c>
      <c r="R657">
        <v>24</v>
      </c>
      <c r="S657">
        <v>68</v>
      </c>
      <c r="T657">
        <v>132710</v>
      </c>
      <c r="U657">
        <v>16500</v>
      </c>
      <c r="V657">
        <v>11.1</v>
      </c>
      <c r="W657" t="s">
        <v>31</v>
      </c>
    </row>
    <row r="658" spans="1:23" x14ac:dyDescent="0.3">
      <c r="A658" t="s">
        <v>1263</v>
      </c>
      <c r="B658" t="s">
        <v>1886</v>
      </c>
      <c r="C658">
        <v>29</v>
      </c>
      <c r="D658" t="s">
        <v>41</v>
      </c>
      <c r="E658" t="s">
        <v>34</v>
      </c>
      <c r="F658" t="s">
        <v>57</v>
      </c>
      <c r="G658" t="s">
        <v>36</v>
      </c>
      <c r="H658" t="s">
        <v>76</v>
      </c>
      <c r="I658" t="s">
        <v>27</v>
      </c>
      <c r="J658" t="s">
        <v>939</v>
      </c>
      <c r="K658">
        <v>2023</v>
      </c>
      <c r="L658">
        <v>1</v>
      </c>
      <c r="M658">
        <v>1</v>
      </c>
      <c r="N658" t="s">
        <v>98</v>
      </c>
      <c r="O658">
        <v>3</v>
      </c>
      <c r="P658">
        <v>2</v>
      </c>
      <c r="Q658" t="s">
        <v>30</v>
      </c>
      <c r="R658">
        <v>19</v>
      </c>
      <c r="S658">
        <v>60</v>
      </c>
      <c r="T658">
        <v>76945</v>
      </c>
      <c r="U658">
        <v>4500</v>
      </c>
      <c r="V658">
        <v>6</v>
      </c>
      <c r="W658" t="s">
        <v>30</v>
      </c>
    </row>
    <row r="659" spans="1:23" x14ac:dyDescent="0.3">
      <c r="A659" t="s">
        <v>1264</v>
      </c>
      <c r="B659" t="s">
        <v>2059</v>
      </c>
      <c r="C659">
        <v>37</v>
      </c>
      <c r="D659" t="s">
        <v>41</v>
      </c>
      <c r="E659" t="s">
        <v>34</v>
      </c>
      <c r="F659" t="s">
        <v>35</v>
      </c>
      <c r="G659" t="s">
        <v>100</v>
      </c>
      <c r="H659" t="s">
        <v>150</v>
      </c>
      <c r="I659" t="s">
        <v>27</v>
      </c>
      <c r="J659" t="s">
        <v>1265</v>
      </c>
      <c r="K659">
        <v>2024</v>
      </c>
      <c r="L659">
        <v>0</v>
      </c>
      <c r="M659">
        <v>14</v>
      </c>
      <c r="N659" t="s">
        <v>29</v>
      </c>
      <c r="O659">
        <v>5</v>
      </c>
      <c r="P659">
        <v>4</v>
      </c>
      <c r="Q659" t="s">
        <v>30</v>
      </c>
      <c r="R659">
        <v>17</v>
      </c>
      <c r="S659">
        <v>6</v>
      </c>
      <c r="T659">
        <v>48413</v>
      </c>
      <c r="U659">
        <v>6200</v>
      </c>
      <c r="V659">
        <v>3.3</v>
      </c>
      <c r="W659" t="s">
        <v>31</v>
      </c>
    </row>
    <row r="660" spans="1:23" x14ac:dyDescent="0.3">
      <c r="A660" t="s">
        <v>1266</v>
      </c>
      <c r="B660" t="s">
        <v>2155</v>
      </c>
      <c r="C660">
        <v>34</v>
      </c>
      <c r="D660" t="s">
        <v>33</v>
      </c>
      <c r="E660" t="s">
        <v>34</v>
      </c>
      <c r="F660" t="s">
        <v>51</v>
      </c>
      <c r="G660" t="s">
        <v>36</v>
      </c>
      <c r="H660" t="s">
        <v>68</v>
      </c>
      <c r="I660" t="s">
        <v>27</v>
      </c>
      <c r="J660" t="s">
        <v>1267</v>
      </c>
      <c r="K660">
        <v>2024</v>
      </c>
      <c r="L660">
        <v>0</v>
      </c>
      <c r="M660">
        <v>10</v>
      </c>
      <c r="N660" t="s">
        <v>29</v>
      </c>
      <c r="O660">
        <v>4</v>
      </c>
      <c r="P660">
        <v>2</v>
      </c>
      <c r="Q660" t="s">
        <v>30</v>
      </c>
      <c r="R660">
        <v>24</v>
      </c>
      <c r="S660">
        <v>48</v>
      </c>
      <c r="T660">
        <v>84395</v>
      </c>
      <c r="U660">
        <v>8500</v>
      </c>
      <c r="V660">
        <v>4.9000000000000004</v>
      </c>
      <c r="W660" t="s">
        <v>31</v>
      </c>
    </row>
    <row r="661" spans="1:23" x14ac:dyDescent="0.3">
      <c r="A661" t="s">
        <v>1268</v>
      </c>
      <c r="B661" t="s">
        <v>1814</v>
      </c>
      <c r="C661">
        <v>38</v>
      </c>
      <c r="D661" t="s">
        <v>41</v>
      </c>
      <c r="E661" t="s">
        <v>34</v>
      </c>
      <c r="F661" t="s">
        <v>153</v>
      </c>
      <c r="G661" t="s">
        <v>36</v>
      </c>
      <c r="H661" t="s">
        <v>76</v>
      </c>
      <c r="I661" t="s">
        <v>27</v>
      </c>
      <c r="J661" t="s">
        <v>1269</v>
      </c>
      <c r="K661">
        <v>2024</v>
      </c>
      <c r="L661">
        <v>0</v>
      </c>
      <c r="M661">
        <v>15</v>
      </c>
      <c r="N661" t="s">
        <v>85</v>
      </c>
      <c r="O661">
        <v>5</v>
      </c>
      <c r="P661">
        <v>3</v>
      </c>
      <c r="Q661" t="s">
        <v>31</v>
      </c>
      <c r="R661">
        <v>20</v>
      </c>
      <c r="S661">
        <v>69</v>
      </c>
      <c r="T661">
        <v>54122</v>
      </c>
      <c r="U661">
        <v>12900</v>
      </c>
      <c r="V661">
        <v>10.3</v>
      </c>
      <c r="W661" t="s">
        <v>30</v>
      </c>
    </row>
    <row r="662" spans="1:23" x14ac:dyDescent="0.3">
      <c r="A662" t="s">
        <v>1270</v>
      </c>
      <c r="B662" t="s">
        <v>2091</v>
      </c>
      <c r="C662">
        <v>37</v>
      </c>
      <c r="D662" t="s">
        <v>41</v>
      </c>
      <c r="E662" t="s">
        <v>34</v>
      </c>
      <c r="F662" t="s">
        <v>35</v>
      </c>
      <c r="G662" t="s">
        <v>100</v>
      </c>
      <c r="H662" t="s">
        <v>150</v>
      </c>
      <c r="I662" t="s">
        <v>27</v>
      </c>
      <c r="J662" t="s">
        <v>1271</v>
      </c>
      <c r="K662">
        <v>2024</v>
      </c>
      <c r="L662">
        <v>0</v>
      </c>
      <c r="M662">
        <v>14</v>
      </c>
      <c r="N662" t="s">
        <v>98</v>
      </c>
      <c r="O662">
        <v>2</v>
      </c>
      <c r="P662">
        <v>1</v>
      </c>
      <c r="Q662" t="s">
        <v>30</v>
      </c>
      <c r="R662">
        <v>18</v>
      </c>
      <c r="S662">
        <v>23</v>
      </c>
      <c r="T662">
        <v>57221</v>
      </c>
      <c r="U662">
        <v>4300</v>
      </c>
      <c r="V662">
        <v>8.6999999999999993</v>
      </c>
      <c r="W662" t="s">
        <v>31</v>
      </c>
    </row>
    <row r="663" spans="1:23" x14ac:dyDescent="0.3">
      <c r="A663" t="s">
        <v>1272</v>
      </c>
      <c r="B663" t="s">
        <v>2156</v>
      </c>
      <c r="C663">
        <v>34</v>
      </c>
      <c r="D663" t="s">
        <v>41</v>
      </c>
      <c r="E663" t="s">
        <v>34</v>
      </c>
      <c r="F663" t="s">
        <v>137</v>
      </c>
      <c r="G663" t="s">
        <v>43</v>
      </c>
      <c r="H663" t="s">
        <v>44</v>
      </c>
      <c r="I663" t="s">
        <v>27</v>
      </c>
      <c r="J663" t="s">
        <v>1273</v>
      </c>
      <c r="K663">
        <v>2023</v>
      </c>
      <c r="L663">
        <v>1</v>
      </c>
      <c r="M663">
        <v>6</v>
      </c>
      <c r="N663" t="s">
        <v>29</v>
      </c>
      <c r="O663">
        <v>1</v>
      </c>
      <c r="P663">
        <v>1</v>
      </c>
      <c r="Q663" t="s">
        <v>30</v>
      </c>
      <c r="R663">
        <v>16</v>
      </c>
      <c r="S663">
        <v>34</v>
      </c>
      <c r="T663">
        <v>75210</v>
      </c>
      <c r="U663">
        <v>7800</v>
      </c>
      <c r="V663">
        <v>4.5999999999999996</v>
      </c>
      <c r="W663" t="s">
        <v>31</v>
      </c>
    </row>
    <row r="664" spans="1:23" x14ac:dyDescent="0.3">
      <c r="A664" t="s">
        <v>1274</v>
      </c>
      <c r="B664" t="s">
        <v>1945</v>
      </c>
      <c r="C664">
        <v>41</v>
      </c>
      <c r="D664" t="s">
        <v>41</v>
      </c>
      <c r="E664" t="s">
        <v>34</v>
      </c>
      <c r="F664" t="s">
        <v>57</v>
      </c>
      <c r="G664" t="s">
        <v>117</v>
      </c>
      <c r="H664" t="s">
        <v>298</v>
      </c>
      <c r="I664" t="s">
        <v>27</v>
      </c>
      <c r="J664" t="s">
        <v>1275</v>
      </c>
      <c r="K664">
        <v>2023</v>
      </c>
      <c r="L664">
        <v>1</v>
      </c>
      <c r="M664">
        <v>16</v>
      </c>
      <c r="N664" t="s">
        <v>29</v>
      </c>
      <c r="O664">
        <v>2</v>
      </c>
      <c r="P664">
        <v>5</v>
      </c>
      <c r="Q664" t="s">
        <v>31</v>
      </c>
      <c r="R664">
        <v>4</v>
      </c>
      <c r="S664">
        <v>8</v>
      </c>
      <c r="T664">
        <v>86113</v>
      </c>
      <c r="U664">
        <v>9200</v>
      </c>
      <c r="V664">
        <v>5.0999999999999996</v>
      </c>
      <c r="W664" t="s">
        <v>31</v>
      </c>
    </row>
    <row r="665" spans="1:23" x14ac:dyDescent="0.3">
      <c r="A665" t="s">
        <v>1276</v>
      </c>
      <c r="B665" t="s">
        <v>1846</v>
      </c>
      <c r="C665">
        <v>41</v>
      </c>
      <c r="D665" t="s">
        <v>41</v>
      </c>
      <c r="E665" t="s">
        <v>56</v>
      </c>
      <c r="F665" t="s">
        <v>75</v>
      </c>
      <c r="G665" t="s">
        <v>36</v>
      </c>
      <c r="H665" t="s">
        <v>89</v>
      </c>
      <c r="I665" t="s">
        <v>27</v>
      </c>
      <c r="J665" t="s">
        <v>1277</v>
      </c>
      <c r="K665">
        <v>2022</v>
      </c>
      <c r="L665">
        <v>2</v>
      </c>
      <c r="M665">
        <v>14</v>
      </c>
      <c r="N665" t="s">
        <v>29</v>
      </c>
      <c r="O665">
        <v>3</v>
      </c>
      <c r="P665">
        <v>4</v>
      </c>
      <c r="Q665" t="s">
        <v>31</v>
      </c>
      <c r="R665">
        <v>14</v>
      </c>
      <c r="S665">
        <v>77</v>
      </c>
      <c r="T665">
        <v>62201</v>
      </c>
      <c r="U665">
        <v>8200</v>
      </c>
      <c r="V665">
        <v>3.5</v>
      </c>
      <c r="W665" t="s">
        <v>31</v>
      </c>
    </row>
    <row r="666" spans="1:23" x14ac:dyDescent="0.3">
      <c r="A666" t="s">
        <v>1278</v>
      </c>
      <c r="B666" t="s">
        <v>2095</v>
      </c>
      <c r="C666">
        <v>31</v>
      </c>
      <c r="D666" t="s">
        <v>33</v>
      </c>
      <c r="E666" t="s">
        <v>71</v>
      </c>
      <c r="F666" t="s">
        <v>35</v>
      </c>
      <c r="G666" t="s">
        <v>52</v>
      </c>
      <c r="H666" t="s">
        <v>53</v>
      </c>
      <c r="I666" t="s">
        <v>27</v>
      </c>
      <c r="J666" t="s">
        <v>1279</v>
      </c>
      <c r="K666">
        <v>2024</v>
      </c>
      <c r="L666">
        <v>0</v>
      </c>
      <c r="M666">
        <v>6</v>
      </c>
      <c r="N666" t="s">
        <v>29</v>
      </c>
      <c r="O666">
        <v>1</v>
      </c>
      <c r="P666">
        <v>3</v>
      </c>
      <c r="Q666" t="s">
        <v>31</v>
      </c>
      <c r="R666">
        <v>8</v>
      </c>
      <c r="S666">
        <v>50</v>
      </c>
      <c r="T666">
        <v>63849</v>
      </c>
      <c r="U666">
        <v>6400</v>
      </c>
      <c r="V666">
        <v>10.199999999999999</v>
      </c>
      <c r="W666" t="s">
        <v>31</v>
      </c>
    </row>
    <row r="667" spans="1:23" x14ac:dyDescent="0.3">
      <c r="A667" t="s">
        <v>1280</v>
      </c>
      <c r="B667" t="s">
        <v>1992</v>
      </c>
      <c r="C667">
        <v>45</v>
      </c>
      <c r="D667" t="s">
        <v>41</v>
      </c>
      <c r="E667" t="s">
        <v>56</v>
      </c>
      <c r="F667" t="s">
        <v>62</v>
      </c>
      <c r="G667" t="s">
        <v>100</v>
      </c>
      <c r="H667" t="s">
        <v>101</v>
      </c>
      <c r="I667" t="s">
        <v>27</v>
      </c>
      <c r="J667" t="s">
        <v>1281</v>
      </c>
      <c r="K667">
        <v>2023</v>
      </c>
      <c r="L667">
        <v>1</v>
      </c>
      <c r="M667">
        <v>18</v>
      </c>
      <c r="N667" t="s">
        <v>29</v>
      </c>
      <c r="O667">
        <v>5</v>
      </c>
      <c r="P667">
        <v>2</v>
      </c>
      <c r="Q667" t="s">
        <v>31</v>
      </c>
      <c r="R667">
        <v>15</v>
      </c>
      <c r="S667">
        <v>43</v>
      </c>
      <c r="T667">
        <v>70796</v>
      </c>
      <c r="U667">
        <v>8100</v>
      </c>
      <c r="V667">
        <v>13.5</v>
      </c>
      <c r="W667" t="s">
        <v>31</v>
      </c>
    </row>
    <row r="668" spans="1:23" x14ac:dyDescent="0.3">
      <c r="A668" t="s">
        <v>1282</v>
      </c>
      <c r="B668" t="s">
        <v>2157</v>
      </c>
      <c r="C668">
        <v>35</v>
      </c>
      <c r="D668" t="s">
        <v>33</v>
      </c>
      <c r="E668" t="s">
        <v>56</v>
      </c>
      <c r="F668" t="s">
        <v>24</v>
      </c>
      <c r="G668" t="s">
        <v>52</v>
      </c>
      <c r="H668" t="s">
        <v>132</v>
      </c>
      <c r="I668" t="s">
        <v>65</v>
      </c>
      <c r="J668" t="s">
        <v>1283</v>
      </c>
      <c r="K668">
        <v>2021</v>
      </c>
      <c r="L668">
        <v>3</v>
      </c>
      <c r="M668">
        <v>9</v>
      </c>
      <c r="N668" t="s">
        <v>29</v>
      </c>
      <c r="O668">
        <v>2</v>
      </c>
      <c r="P668">
        <v>3</v>
      </c>
      <c r="Q668" t="s">
        <v>31</v>
      </c>
      <c r="R668">
        <v>16</v>
      </c>
      <c r="S668">
        <v>52</v>
      </c>
      <c r="T668">
        <v>83956</v>
      </c>
      <c r="U668">
        <v>9300</v>
      </c>
      <c r="V668">
        <v>13.9</v>
      </c>
      <c r="W668" t="s">
        <v>31</v>
      </c>
    </row>
    <row r="669" spans="1:23" x14ac:dyDescent="0.3">
      <c r="A669" t="s">
        <v>1284</v>
      </c>
      <c r="B669" t="s">
        <v>1969</v>
      </c>
      <c r="C669">
        <v>31</v>
      </c>
      <c r="D669" t="s">
        <v>41</v>
      </c>
      <c r="E669" t="s">
        <v>34</v>
      </c>
      <c r="F669" t="s">
        <v>57</v>
      </c>
      <c r="G669" t="s">
        <v>43</v>
      </c>
      <c r="H669" t="s">
        <v>96</v>
      </c>
      <c r="I669" t="s">
        <v>27</v>
      </c>
      <c r="J669" t="s">
        <v>1213</v>
      </c>
      <c r="K669">
        <v>2022</v>
      </c>
      <c r="L669">
        <v>2</v>
      </c>
      <c r="M669">
        <v>5</v>
      </c>
      <c r="N669" t="s">
        <v>98</v>
      </c>
      <c r="O669">
        <v>3</v>
      </c>
      <c r="P669">
        <v>2</v>
      </c>
      <c r="Q669" t="s">
        <v>31</v>
      </c>
      <c r="R669">
        <v>6</v>
      </c>
      <c r="S669">
        <v>76</v>
      </c>
      <c r="T669">
        <v>117380</v>
      </c>
      <c r="U669">
        <v>8400</v>
      </c>
      <c r="V669">
        <v>5.5</v>
      </c>
      <c r="W669" t="s">
        <v>31</v>
      </c>
    </row>
    <row r="670" spans="1:23" x14ac:dyDescent="0.3">
      <c r="A670" t="s">
        <v>1285</v>
      </c>
      <c r="B670" t="s">
        <v>1872</v>
      </c>
      <c r="C670">
        <v>42</v>
      </c>
      <c r="D670" t="s">
        <v>41</v>
      </c>
      <c r="E670" t="s">
        <v>71</v>
      </c>
      <c r="F670" t="s">
        <v>153</v>
      </c>
      <c r="G670" t="s">
        <v>82</v>
      </c>
      <c r="H670" t="s">
        <v>138</v>
      </c>
      <c r="I670" t="s">
        <v>79</v>
      </c>
      <c r="J670" t="s">
        <v>1286</v>
      </c>
      <c r="K670">
        <v>2024</v>
      </c>
      <c r="L670">
        <v>0</v>
      </c>
      <c r="M670">
        <v>13</v>
      </c>
      <c r="N670" t="s">
        <v>29</v>
      </c>
      <c r="O670">
        <v>4</v>
      </c>
      <c r="P670">
        <v>1</v>
      </c>
      <c r="Q670" t="s">
        <v>30</v>
      </c>
      <c r="R670">
        <v>2</v>
      </c>
      <c r="S670">
        <v>24</v>
      </c>
      <c r="T670">
        <v>82236</v>
      </c>
      <c r="U670">
        <v>9200</v>
      </c>
      <c r="V670">
        <v>6.1</v>
      </c>
      <c r="W670" t="s">
        <v>30</v>
      </c>
    </row>
    <row r="671" spans="1:23" x14ac:dyDescent="0.3">
      <c r="A671" t="s">
        <v>1287</v>
      </c>
      <c r="B671" t="s">
        <v>2131</v>
      </c>
      <c r="C671">
        <v>39</v>
      </c>
      <c r="D671" t="s">
        <v>33</v>
      </c>
      <c r="E671" t="s">
        <v>34</v>
      </c>
      <c r="F671" t="s">
        <v>35</v>
      </c>
      <c r="G671" t="s">
        <v>82</v>
      </c>
      <c r="H671" t="s">
        <v>138</v>
      </c>
      <c r="I671" t="s">
        <v>27</v>
      </c>
      <c r="J671" t="s">
        <v>1288</v>
      </c>
      <c r="K671">
        <v>2023</v>
      </c>
      <c r="L671">
        <v>1</v>
      </c>
      <c r="M671">
        <v>14</v>
      </c>
      <c r="N671" t="s">
        <v>29</v>
      </c>
      <c r="O671">
        <v>3</v>
      </c>
      <c r="P671">
        <v>1</v>
      </c>
      <c r="Q671" t="s">
        <v>31</v>
      </c>
      <c r="R671">
        <v>1</v>
      </c>
      <c r="S671">
        <v>8</v>
      </c>
      <c r="T671">
        <v>73030</v>
      </c>
      <c r="U671">
        <v>8700</v>
      </c>
      <c r="V671">
        <v>4.3</v>
      </c>
      <c r="W671" t="s">
        <v>31</v>
      </c>
    </row>
    <row r="672" spans="1:23" x14ac:dyDescent="0.3">
      <c r="A672" t="s">
        <v>1289</v>
      </c>
      <c r="B672" t="s">
        <v>1964</v>
      </c>
      <c r="C672">
        <v>39</v>
      </c>
      <c r="D672" t="s">
        <v>41</v>
      </c>
      <c r="E672" t="s">
        <v>34</v>
      </c>
      <c r="F672" t="s">
        <v>75</v>
      </c>
      <c r="G672" t="s">
        <v>43</v>
      </c>
      <c r="H672" t="s">
        <v>96</v>
      </c>
      <c r="I672" t="s">
        <v>27</v>
      </c>
      <c r="J672" t="s">
        <v>1290</v>
      </c>
      <c r="K672">
        <v>2022</v>
      </c>
      <c r="L672">
        <v>2</v>
      </c>
      <c r="M672">
        <v>14</v>
      </c>
      <c r="N672" t="s">
        <v>85</v>
      </c>
      <c r="O672">
        <v>5</v>
      </c>
      <c r="P672">
        <v>5</v>
      </c>
      <c r="Q672" t="s">
        <v>31</v>
      </c>
      <c r="R672">
        <v>24</v>
      </c>
      <c r="S672">
        <v>34</v>
      </c>
      <c r="T672">
        <v>77848</v>
      </c>
      <c r="U672">
        <v>14600</v>
      </c>
      <c r="V672">
        <v>10.5</v>
      </c>
      <c r="W672" t="s">
        <v>31</v>
      </c>
    </row>
    <row r="673" spans="1:23" x14ac:dyDescent="0.3">
      <c r="A673" t="s">
        <v>1291</v>
      </c>
      <c r="B673" t="s">
        <v>2140</v>
      </c>
      <c r="C673">
        <v>38</v>
      </c>
      <c r="D673" t="s">
        <v>33</v>
      </c>
      <c r="E673" t="s">
        <v>71</v>
      </c>
      <c r="F673" t="s">
        <v>57</v>
      </c>
      <c r="G673" t="s">
        <v>63</v>
      </c>
      <c r="H673" t="s">
        <v>337</v>
      </c>
      <c r="I673" t="s">
        <v>27</v>
      </c>
      <c r="J673" t="s">
        <v>331</v>
      </c>
      <c r="K673">
        <v>2023</v>
      </c>
      <c r="L673">
        <v>1</v>
      </c>
      <c r="M673">
        <v>13</v>
      </c>
      <c r="N673" t="s">
        <v>39</v>
      </c>
      <c r="O673">
        <v>4</v>
      </c>
      <c r="P673">
        <v>2</v>
      </c>
      <c r="Q673" t="s">
        <v>31</v>
      </c>
      <c r="R673">
        <v>7</v>
      </c>
      <c r="S673">
        <v>58</v>
      </c>
      <c r="T673">
        <v>35571</v>
      </c>
      <c r="U673">
        <v>900</v>
      </c>
      <c r="V673">
        <v>11.9</v>
      </c>
      <c r="W673" t="s">
        <v>31</v>
      </c>
    </row>
    <row r="674" spans="1:23" x14ac:dyDescent="0.3">
      <c r="A674" t="s">
        <v>1292</v>
      </c>
      <c r="B674" t="s">
        <v>2046</v>
      </c>
      <c r="C674">
        <v>34</v>
      </c>
      <c r="D674" t="s">
        <v>33</v>
      </c>
      <c r="E674" t="s">
        <v>34</v>
      </c>
      <c r="F674" t="s">
        <v>51</v>
      </c>
      <c r="G674" t="s">
        <v>117</v>
      </c>
      <c r="H674" t="s">
        <v>198</v>
      </c>
      <c r="I674" t="s">
        <v>27</v>
      </c>
      <c r="J674" t="s">
        <v>1293</v>
      </c>
      <c r="K674">
        <v>2023</v>
      </c>
      <c r="L674">
        <v>1</v>
      </c>
      <c r="M674">
        <v>8</v>
      </c>
      <c r="N674" t="s">
        <v>98</v>
      </c>
      <c r="O674">
        <v>4</v>
      </c>
      <c r="P674">
        <v>5</v>
      </c>
      <c r="Q674" t="s">
        <v>31</v>
      </c>
      <c r="R674">
        <v>24</v>
      </c>
      <c r="S674">
        <v>48</v>
      </c>
      <c r="T674">
        <v>94303</v>
      </c>
      <c r="U674">
        <v>6500</v>
      </c>
      <c r="V674">
        <v>5.8</v>
      </c>
      <c r="W674" t="s">
        <v>31</v>
      </c>
    </row>
    <row r="675" spans="1:23" x14ac:dyDescent="0.3">
      <c r="A675" t="s">
        <v>1294</v>
      </c>
      <c r="B675" t="s">
        <v>2158</v>
      </c>
      <c r="C675">
        <v>44</v>
      </c>
      <c r="D675" t="s">
        <v>33</v>
      </c>
      <c r="E675" t="s">
        <v>34</v>
      </c>
      <c r="F675" t="s">
        <v>57</v>
      </c>
      <c r="G675" t="s">
        <v>43</v>
      </c>
      <c r="H675" t="s">
        <v>72</v>
      </c>
      <c r="I675" t="s">
        <v>27</v>
      </c>
      <c r="J675" t="s">
        <v>1295</v>
      </c>
      <c r="K675">
        <v>2024</v>
      </c>
      <c r="L675">
        <v>0</v>
      </c>
      <c r="M675">
        <v>17</v>
      </c>
      <c r="N675" t="s">
        <v>29</v>
      </c>
      <c r="O675">
        <v>4</v>
      </c>
      <c r="P675">
        <v>2</v>
      </c>
      <c r="Q675" t="s">
        <v>30</v>
      </c>
      <c r="R675">
        <v>12</v>
      </c>
      <c r="S675">
        <v>26</v>
      </c>
      <c r="T675">
        <v>135409</v>
      </c>
      <c r="U675">
        <v>15500</v>
      </c>
      <c r="V675">
        <v>8.3000000000000007</v>
      </c>
      <c r="W675" t="s">
        <v>31</v>
      </c>
    </row>
    <row r="676" spans="1:23" x14ac:dyDescent="0.3">
      <c r="A676" t="s">
        <v>1296</v>
      </c>
      <c r="B676" t="s">
        <v>2116</v>
      </c>
      <c r="C676">
        <v>36</v>
      </c>
      <c r="D676" t="s">
        <v>41</v>
      </c>
      <c r="E676" t="s">
        <v>71</v>
      </c>
      <c r="F676" t="s">
        <v>137</v>
      </c>
      <c r="G676" t="s">
        <v>100</v>
      </c>
      <c r="H676" t="s">
        <v>145</v>
      </c>
      <c r="I676" t="s">
        <v>27</v>
      </c>
      <c r="J676" t="s">
        <v>502</v>
      </c>
      <c r="K676">
        <v>2022</v>
      </c>
      <c r="L676">
        <v>2</v>
      </c>
      <c r="M676">
        <v>8</v>
      </c>
      <c r="N676" t="s">
        <v>39</v>
      </c>
      <c r="O676">
        <v>3</v>
      </c>
      <c r="P676">
        <v>3</v>
      </c>
      <c r="Q676" t="s">
        <v>31</v>
      </c>
      <c r="R676">
        <v>12</v>
      </c>
      <c r="S676">
        <v>2</v>
      </c>
      <c r="T676">
        <v>70783</v>
      </c>
      <c r="U676">
        <v>2300</v>
      </c>
      <c r="V676">
        <v>9.8000000000000007</v>
      </c>
      <c r="W676" t="s">
        <v>30</v>
      </c>
    </row>
    <row r="677" spans="1:23" x14ac:dyDescent="0.3">
      <c r="A677" t="s">
        <v>1297</v>
      </c>
      <c r="B677" t="s">
        <v>1896</v>
      </c>
      <c r="C677">
        <v>36</v>
      </c>
      <c r="D677" t="s">
        <v>41</v>
      </c>
      <c r="E677" t="s">
        <v>34</v>
      </c>
      <c r="F677" t="s">
        <v>42</v>
      </c>
      <c r="G677" t="s">
        <v>100</v>
      </c>
      <c r="H677" t="s">
        <v>129</v>
      </c>
      <c r="I677" t="s">
        <v>27</v>
      </c>
      <c r="J677" t="s">
        <v>1298</v>
      </c>
      <c r="K677">
        <v>2024</v>
      </c>
      <c r="L677">
        <v>0</v>
      </c>
      <c r="M677">
        <v>9</v>
      </c>
      <c r="N677" t="s">
        <v>39</v>
      </c>
      <c r="O677">
        <v>2</v>
      </c>
      <c r="P677">
        <v>1</v>
      </c>
      <c r="Q677" t="s">
        <v>31</v>
      </c>
      <c r="R677">
        <v>12</v>
      </c>
      <c r="S677">
        <v>46</v>
      </c>
      <c r="T677">
        <v>64025</v>
      </c>
      <c r="U677">
        <v>1700</v>
      </c>
      <c r="V677">
        <v>4.9000000000000004</v>
      </c>
      <c r="W677" t="s">
        <v>30</v>
      </c>
    </row>
    <row r="678" spans="1:23" x14ac:dyDescent="0.3">
      <c r="A678" t="s">
        <v>1299</v>
      </c>
      <c r="B678" t="s">
        <v>1959</v>
      </c>
      <c r="C678">
        <v>40</v>
      </c>
      <c r="D678" t="s">
        <v>33</v>
      </c>
      <c r="E678" t="s">
        <v>34</v>
      </c>
      <c r="F678" t="s">
        <v>75</v>
      </c>
      <c r="G678" t="s">
        <v>52</v>
      </c>
      <c r="H678" t="s">
        <v>132</v>
      </c>
      <c r="I678" t="s">
        <v>27</v>
      </c>
      <c r="J678" t="s">
        <v>1300</v>
      </c>
      <c r="K678">
        <v>2022</v>
      </c>
      <c r="L678">
        <v>2</v>
      </c>
      <c r="M678">
        <v>18</v>
      </c>
      <c r="N678" t="s">
        <v>39</v>
      </c>
      <c r="O678">
        <v>2</v>
      </c>
      <c r="P678">
        <v>5</v>
      </c>
      <c r="Q678" t="s">
        <v>31</v>
      </c>
      <c r="R678">
        <v>2</v>
      </c>
      <c r="S678">
        <v>29</v>
      </c>
      <c r="T678">
        <v>79423</v>
      </c>
      <c r="U678">
        <v>2300</v>
      </c>
      <c r="V678">
        <v>6.5</v>
      </c>
      <c r="W678" t="s">
        <v>31</v>
      </c>
    </row>
    <row r="679" spans="1:23" x14ac:dyDescent="0.3">
      <c r="A679" t="s">
        <v>1301</v>
      </c>
      <c r="B679" t="s">
        <v>2159</v>
      </c>
      <c r="C679">
        <v>44</v>
      </c>
      <c r="D679" t="s">
        <v>33</v>
      </c>
      <c r="E679" t="s">
        <v>56</v>
      </c>
      <c r="F679" t="s">
        <v>47</v>
      </c>
      <c r="G679" t="s">
        <v>117</v>
      </c>
      <c r="H679" t="s">
        <v>298</v>
      </c>
      <c r="I679" t="s">
        <v>79</v>
      </c>
      <c r="J679" t="s">
        <v>1302</v>
      </c>
      <c r="K679">
        <v>2022</v>
      </c>
      <c r="L679">
        <v>2</v>
      </c>
      <c r="M679">
        <v>16</v>
      </c>
      <c r="N679" t="s">
        <v>85</v>
      </c>
      <c r="O679">
        <v>2</v>
      </c>
      <c r="P679">
        <v>5</v>
      </c>
      <c r="Q679" t="s">
        <v>31</v>
      </c>
      <c r="R679">
        <v>3</v>
      </c>
      <c r="S679">
        <v>59</v>
      </c>
      <c r="T679">
        <v>70482</v>
      </c>
      <c r="U679">
        <v>16700</v>
      </c>
      <c r="V679">
        <v>10.199999999999999</v>
      </c>
      <c r="W679" t="s">
        <v>30</v>
      </c>
    </row>
    <row r="680" spans="1:23" x14ac:dyDescent="0.3">
      <c r="A680" t="s">
        <v>1303</v>
      </c>
      <c r="B680" t="s">
        <v>2146</v>
      </c>
      <c r="C680">
        <v>28</v>
      </c>
      <c r="D680" t="s">
        <v>33</v>
      </c>
      <c r="E680" t="s">
        <v>56</v>
      </c>
      <c r="F680" t="s">
        <v>137</v>
      </c>
      <c r="G680" t="s">
        <v>43</v>
      </c>
      <c r="H680" t="s">
        <v>96</v>
      </c>
      <c r="I680" t="s">
        <v>27</v>
      </c>
      <c r="J680" t="s">
        <v>1304</v>
      </c>
      <c r="K680">
        <v>2022</v>
      </c>
      <c r="L680">
        <v>2</v>
      </c>
      <c r="M680">
        <v>1</v>
      </c>
      <c r="N680" t="s">
        <v>29</v>
      </c>
      <c r="O680">
        <v>2</v>
      </c>
      <c r="P680">
        <v>2</v>
      </c>
      <c r="Q680" t="s">
        <v>30</v>
      </c>
      <c r="R680">
        <v>19</v>
      </c>
      <c r="S680">
        <v>47</v>
      </c>
      <c r="T680">
        <v>105695</v>
      </c>
      <c r="U680">
        <v>10300</v>
      </c>
      <c r="V680">
        <v>9.1</v>
      </c>
      <c r="W680" t="s">
        <v>30</v>
      </c>
    </row>
    <row r="681" spans="1:23" x14ac:dyDescent="0.3">
      <c r="A681" t="s">
        <v>1305</v>
      </c>
      <c r="B681" t="s">
        <v>2032</v>
      </c>
      <c r="C681">
        <v>28</v>
      </c>
      <c r="D681" t="s">
        <v>41</v>
      </c>
      <c r="E681" t="s">
        <v>34</v>
      </c>
      <c r="F681" t="s">
        <v>42</v>
      </c>
      <c r="G681" t="s">
        <v>43</v>
      </c>
      <c r="H681" t="s">
        <v>96</v>
      </c>
      <c r="I681" t="s">
        <v>27</v>
      </c>
      <c r="J681" t="s">
        <v>726</v>
      </c>
      <c r="K681">
        <v>2021</v>
      </c>
      <c r="L681">
        <v>3</v>
      </c>
      <c r="M681">
        <v>6</v>
      </c>
      <c r="N681" t="s">
        <v>85</v>
      </c>
      <c r="O681">
        <v>4</v>
      </c>
      <c r="P681">
        <v>5</v>
      </c>
      <c r="Q681" t="s">
        <v>31</v>
      </c>
      <c r="R681">
        <v>14</v>
      </c>
      <c r="S681">
        <v>66</v>
      </c>
      <c r="T681">
        <v>119469</v>
      </c>
      <c r="U681">
        <v>21900</v>
      </c>
      <c r="V681">
        <v>9.3000000000000007</v>
      </c>
      <c r="W681" t="s">
        <v>31</v>
      </c>
    </row>
    <row r="682" spans="1:23" x14ac:dyDescent="0.3">
      <c r="A682" t="s">
        <v>1306</v>
      </c>
      <c r="B682" t="s">
        <v>1956</v>
      </c>
      <c r="C682">
        <v>38</v>
      </c>
      <c r="D682" t="s">
        <v>33</v>
      </c>
      <c r="E682" t="s">
        <v>71</v>
      </c>
      <c r="F682" t="s">
        <v>57</v>
      </c>
      <c r="G682" t="s">
        <v>25</v>
      </c>
      <c r="H682" t="s">
        <v>58</v>
      </c>
      <c r="I682" t="s">
        <v>27</v>
      </c>
      <c r="J682" t="s">
        <v>1307</v>
      </c>
      <c r="K682">
        <v>2024</v>
      </c>
      <c r="L682">
        <v>0</v>
      </c>
      <c r="M682">
        <v>14</v>
      </c>
      <c r="N682" t="s">
        <v>85</v>
      </c>
      <c r="O682">
        <v>4</v>
      </c>
      <c r="P682">
        <v>4</v>
      </c>
      <c r="Q682" t="s">
        <v>31</v>
      </c>
      <c r="R682">
        <v>12</v>
      </c>
      <c r="S682">
        <v>38</v>
      </c>
      <c r="T682">
        <v>87750</v>
      </c>
      <c r="U682">
        <v>14300</v>
      </c>
      <c r="V682">
        <v>3.9</v>
      </c>
      <c r="W682" t="s">
        <v>31</v>
      </c>
    </row>
    <row r="683" spans="1:23" x14ac:dyDescent="0.3">
      <c r="A683" t="s">
        <v>1308</v>
      </c>
      <c r="B683" t="s">
        <v>2100</v>
      </c>
      <c r="C683">
        <v>34</v>
      </c>
      <c r="D683" t="s">
        <v>41</v>
      </c>
      <c r="E683" t="s">
        <v>56</v>
      </c>
      <c r="F683" t="s">
        <v>75</v>
      </c>
      <c r="G683" t="s">
        <v>36</v>
      </c>
      <c r="H683" t="s">
        <v>68</v>
      </c>
      <c r="I683" t="s">
        <v>65</v>
      </c>
      <c r="J683" t="s">
        <v>1190</v>
      </c>
      <c r="K683">
        <v>2021</v>
      </c>
      <c r="L683">
        <v>3</v>
      </c>
      <c r="M683">
        <v>5</v>
      </c>
      <c r="N683" t="s">
        <v>98</v>
      </c>
      <c r="O683">
        <v>3</v>
      </c>
      <c r="P683">
        <v>4</v>
      </c>
      <c r="Q683" t="s">
        <v>30</v>
      </c>
      <c r="R683">
        <v>12</v>
      </c>
      <c r="S683">
        <v>59</v>
      </c>
      <c r="T683">
        <v>94725</v>
      </c>
      <c r="U683">
        <v>7000</v>
      </c>
      <c r="V683">
        <v>6.6</v>
      </c>
      <c r="W683" t="s">
        <v>31</v>
      </c>
    </row>
    <row r="684" spans="1:23" x14ac:dyDescent="0.3">
      <c r="A684" t="s">
        <v>1309</v>
      </c>
      <c r="B684" t="s">
        <v>2135</v>
      </c>
      <c r="C684">
        <v>32</v>
      </c>
      <c r="D684" t="s">
        <v>41</v>
      </c>
      <c r="E684" t="s">
        <v>56</v>
      </c>
      <c r="F684" t="s">
        <v>153</v>
      </c>
      <c r="G684" t="s">
        <v>36</v>
      </c>
      <c r="H684" t="s">
        <v>89</v>
      </c>
      <c r="I684" t="s">
        <v>27</v>
      </c>
      <c r="J684" t="s">
        <v>1310</v>
      </c>
      <c r="K684">
        <v>2022</v>
      </c>
      <c r="L684">
        <v>2</v>
      </c>
      <c r="M684">
        <v>8</v>
      </c>
      <c r="N684" t="s">
        <v>29</v>
      </c>
      <c r="O684">
        <v>3</v>
      </c>
      <c r="P684">
        <v>3</v>
      </c>
      <c r="Q684" t="s">
        <v>31</v>
      </c>
      <c r="R684">
        <v>16</v>
      </c>
      <c r="S684">
        <v>70</v>
      </c>
      <c r="T684">
        <v>51637</v>
      </c>
      <c r="U684">
        <v>5100</v>
      </c>
      <c r="V684">
        <v>8.6</v>
      </c>
      <c r="W684" t="s">
        <v>31</v>
      </c>
    </row>
    <row r="685" spans="1:23" x14ac:dyDescent="0.3">
      <c r="A685" t="s">
        <v>1311</v>
      </c>
      <c r="B685" t="s">
        <v>1885</v>
      </c>
      <c r="C685">
        <v>36</v>
      </c>
      <c r="D685" t="s">
        <v>41</v>
      </c>
      <c r="E685" t="s">
        <v>34</v>
      </c>
      <c r="F685" t="s">
        <v>137</v>
      </c>
      <c r="G685" t="s">
        <v>36</v>
      </c>
      <c r="H685" t="s">
        <v>89</v>
      </c>
      <c r="I685" t="s">
        <v>27</v>
      </c>
      <c r="J685" t="s">
        <v>518</v>
      </c>
      <c r="K685">
        <v>2024</v>
      </c>
      <c r="L685">
        <v>0</v>
      </c>
      <c r="M685">
        <v>11</v>
      </c>
      <c r="N685" t="s">
        <v>85</v>
      </c>
      <c r="O685">
        <v>5</v>
      </c>
      <c r="P685">
        <v>3</v>
      </c>
      <c r="Q685" t="s">
        <v>30</v>
      </c>
      <c r="R685">
        <v>0</v>
      </c>
      <c r="S685">
        <v>57</v>
      </c>
      <c r="T685">
        <v>78208</v>
      </c>
      <c r="U685">
        <v>18700</v>
      </c>
      <c r="V685">
        <v>4.8</v>
      </c>
      <c r="W685" t="s">
        <v>31</v>
      </c>
    </row>
    <row r="686" spans="1:23" x14ac:dyDescent="0.3">
      <c r="A686" t="s">
        <v>1312</v>
      </c>
      <c r="B686" t="s">
        <v>1976</v>
      </c>
      <c r="C686">
        <v>37</v>
      </c>
      <c r="D686" t="s">
        <v>41</v>
      </c>
      <c r="E686" t="s">
        <v>34</v>
      </c>
      <c r="F686" t="s">
        <v>42</v>
      </c>
      <c r="G686" t="s">
        <v>36</v>
      </c>
      <c r="H686" t="s">
        <v>89</v>
      </c>
      <c r="I686" t="s">
        <v>27</v>
      </c>
      <c r="J686" t="s">
        <v>154</v>
      </c>
      <c r="K686">
        <v>2023</v>
      </c>
      <c r="L686">
        <v>1</v>
      </c>
      <c r="M686">
        <v>10</v>
      </c>
      <c r="N686" t="s">
        <v>29</v>
      </c>
      <c r="O686">
        <v>5</v>
      </c>
      <c r="P686">
        <v>5</v>
      </c>
      <c r="Q686" t="s">
        <v>31</v>
      </c>
      <c r="R686">
        <v>2</v>
      </c>
      <c r="S686">
        <v>19</v>
      </c>
      <c r="T686">
        <v>78881</v>
      </c>
      <c r="U686">
        <v>10900</v>
      </c>
      <c r="V686">
        <v>12.1</v>
      </c>
      <c r="W686" t="s">
        <v>31</v>
      </c>
    </row>
    <row r="687" spans="1:23" x14ac:dyDescent="0.3">
      <c r="A687" t="s">
        <v>1313</v>
      </c>
      <c r="B687" t="s">
        <v>2007</v>
      </c>
      <c r="C687">
        <v>30</v>
      </c>
      <c r="D687" t="s">
        <v>41</v>
      </c>
      <c r="E687" t="s">
        <v>71</v>
      </c>
      <c r="F687" t="s">
        <v>62</v>
      </c>
      <c r="G687" t="s">
        <v>82</v>
      </c>
      <c r="H687" t="s">
        <v>323</v>
      </c>
      <c r="I687" t="s">
        <v>27</v>
      </c>
      <c r="J687" t="s">
        <v>194</v>
      </c>
      <c r="K687">
        <v>2023</v>
      </c>
      <c r="L687">
        <v>1</v>
      </c>
      <c r="M687">
        <v>7</v>
      </c>
      <c r="N687" t="s">
        <v>29</v>
      </c>
      <c r="O687">
        <v>2</v>
      </c>
      <c r="P687">
        <v>4</v>
      </c>
      <c r="Q687" t="s">
        <v>30</v>
      </c>
      <c r="R687">
        <v>17</v>
      </c>
      <c r="S687">
        <v>72</v>
      </c>
      <c r="T687">
        <v>63072</v>
      </c>
      <c r="U687">
        <v>6200</v>
      </c>
      <c r="V687">
        <v>6.6</v>
      </c>
      <c r="W687" t="s">
        <v>31</v>
      </c>
    </row>
    <row r="688" spans="1:23" x14ac:dyDescent="0.3">
      <c r="A688" t="s">
        <v>1314</v>
      </c>
      <c r="B688" t="s">
        <v>2160</v>
      </c>
      <c r="C688">
        <v>28</v>
      </c>
      <c r="D688" t="s">
        <v>22</v>
      </c>
      <c r="E688" t="s">
        <v>71</v>
      </c>
      <c r="F688" t="s">
        <v>51</v>
      </c>
      <c r="G688" t="s">
        <v>100</v>
      </c>
      <c r="H688" t="s">
        <v>101</v>
      </c>
      <c r="I688" t="s">
        <v>79</v>
      </c>
      <c r="J688" t="s">
        <v>203</v>
      </c>
      <c r="K688">
        <v>2021</v>
      </c>
      <c r="L688">
        <v>3</v>
      </c>
      <c r="M688">
        <v>2</v>
      </c>
      <c r="N688" t="s">
        <v>29</v>
      </c>
      <c r="O688">
        <v>3</v>
      </c>
      <c r="P688">
        <v>5</v>
      </c>
      <c r="Q688" t="s">
        <v>30</v>
      </c>
      <c r="R688">
        <v>23</v>
      </c>
      <c r="S688">
        <v>47</v>
      </c>
      <c r="T688">
        <v>44331</v>
      </c>
      <c r="U688">
        <v>6200</v>
      </c>
      <c r="V688">
        <v>5</v>
      </c>
      <c r="W688" t="s">
        <v>31</v>
      </c>
    </row>
    <row r="689" spans="1:23" x14ac:dyDescent="0.3">
      <c r="A689" t="s">
        <v>1315</v>
      </c>
      <c r="B689" t="s">
        <v>2049</v>
      </c>
      <c r="C689">
        <v>41</v>
      </c>
      <c r="D689" t="s">
        <v>33</v>
      </c>
      <c r="E689" t="s">
        <v>34</v>
      </c>
      <c r="F689" t="s">
        <v>153</v>
      </c>
      <c r="G689" t="s">
        <v>43</v>
      </c>
      <c r="H689" t="s">
        <v>48</v>
      </c>
      <c r="I689" t="s">
        <v>27</v>
      </c>
      <c r="J689" t="s">
        <v>1316</v>
      </c>
      <c r="K689">
        <v>2023</v>
      </c>
      <c r="L689">
        <v>1</v>
      </c>
      <c r="M689">
        <v>11</v>
      </c>
      <c r="N689" t="s">
        <v>98</v>
      </c>
      <c r="O689">
        <v>3</v>
      </c>
      <c r="P689">
        <v>5</v>
      </c>
      <c r="Q689" t="s">
        <v>31</v>
      </c>
      <c r="R689">
        <v>9</v>
      </c>
      <c r="S689">
        <v>63</v>
      </c>
      <c r="T689">
        <v>138163</v>
      </c>
      <c r="U689">
        <v>10900</v>
      </c>
      <c r="V689">
        <v>12.3</v>
      </c>
      <c r="W689" t="s">
        <v>31</v>
      </c>
    </row>
    <row r="690" spans="1:23" x14ac:dyDescent="0.3">
      <c r="A690" t="s">
        <v>1317</v>
      </c>
      <c r="B690" t="s">
        <v>1931</v>
      </c>
      <c r="C690">
        <v>35</v>
      </c>
      <c r="D690" t="s">
        <v>41</v>
      </c>
      <c r="E690" t="s">
        <v>34</v>
      </c>
      <c r="F690" t="s">
        <v>42</v>
      </c>
      <c r="G690" t="s">
        <v>43</v>
      </c>
      <c r="H690" t="s">
        <v>48</v>
      </c>
      <c r="I690" t="s">
        <v>27</v>
      </c>
      <c r="J690" t="s">
        <v>1318</v>
      </c>
      <c r="K690">
        <v>2023</v>
      </c>
      <c r="L690">
        <v>1</v>
      </c>
      <c r="M690">
        <v>5</v>
      </c>
      <c r="N690" t="s">
        <v>98</v>
      </c>
      <c r="O690">
        <v>4</v>
      </c>
      <c r="P690">
        <v>4</v>
      </c>
      <c r="Q690" t="s">
        <v>31</v>
      </c>
      <c r="R690">
        <v>18</v>
      </c>
      <c r="S690">
        <v>42</v>
      </c>
      <c r="T690">
        <v>98698</v>
      </c>
      <c r="U690">
        <v>6200</v>
      </c>
      <c r="V690">
        <v>13.9</v>
      </c>
      <c r="W690" t="s">
        <v>31</v>
      </c>
    </row>
    <row r="691" spans="1:23" x14ac:dyDescent="0.3">
      <c r="A691" t="s">
        <v>1319</v>
      </c>
      <c r="B691" t="s">
        <v>1925</v>
      </c>
      <c r="C691">
        <v>33</v>
      </c>
      <c r="D691" t="s">
        <v>41</v>
      </c>
      <c r="E691" t="s">
        <v>34</v>
      </c>
      <c r="F691" t="s">
        <v>47</v>
      </c>
      <c r="G691" t="s">
        <v>25</v>
      </c>
      <c r="H691" t="s">
        <v>58</v>
      </c>
      <c r="I691" t="s">
        <v>27</v>
      </c>
      <c r="J691" t="s">
        <v>1210</v>
      </c>
      <c r="K691">
        <v>2024</v>
      </c>
      <c r="L691">
        <v>0</v>
      </c>
      <c r="M691">
        <v>11</v>
      </c>
      <c r="N691" t="s">
        <v>29</v>
      </c>
      <c r="O691">
        <v>4</v>
      </c>
      <c r="P691">
        <v>4</v>
      </c>
      <c r="Q691" t="s">
        <v>31</v>
      </c>
      <c r="R691">
        <v>18</v>
      </c>
      <c r="S691">
        <v>27</v>
      </c>
      <c r="T691">
        <v>108415</v>
      </c>
      <c r="U691">
        <v>12600</v>
      </c>
      <c r="V691">
        <v>14.7</v>
      </c>
      <c r="W691" t="s">
        <v>31</v>
      </c>
    </row>
    <row r="692" spans="1:23" x14ac:dyDescent="0.3">
      <c r="A692" t="s">
        <v>1320</v>
      </c>
      <c r="B692" t="s">
        <v>2074</v>
      </c>
      <c r="C692">
        <v>33</v>
      </c>
      <c r="D692" t="s">
        <v>41</v>
      </c>
      <c r="E692" t="s">
        <v>34</v>
      </c>
      <c r="F692" t="s">
        <v>35</v>
      </c>
      <c r="G692" t="s">
        <v>25</v>
      </c>
      <c r="H692" t="s">
        <v>110</v>
      </c>
      <c r="I692" t="s">
        <v>27</v>
      </c>
      <c r="J692" t="s">
        <v>1213</v>
      </c>
      <c r="K692">
        <v>2022</v>
      </c>
      <c r="L692">
        <v>2</v>
      </c>
      <c r="M692">
        <v>6</v>
      </c>
      <c r="N692" t="s">
        <v>29</v>
      </c>
      <c r="O692">
        <v>4</v>
      </c>
      <c r="P692">
        <v>1</v>
      </c>
      <c r="Q692" t="s">
        <v>31</v>
      </c>
      <c r="R692">
        <v>22</v>
      </c>
      <c r="S692">
        <v>19</v>
      </c>
      <c r="T692">
        <v>76439</v>
      </c>
      <c r="U692">
        <v>10500</v>
      </c>
      <c r="V692">
        <v>4.2</v>
      </c>
      <c r="W692" t="s">
        <v>30</v>
      </c>
    </row>
    <row r="693" spans="1:23" x14ac:dyDescent="0.3">
      <c r="A693" t="s">
        <v>1321</v>
      </c>
      <c r="B693" t="s">
        <v>2161</v>
      </c>
      <c r="C693">
        <v>39</v>
      </c>
      <c r="D693" t="s">
        <v>41</v>
      </c>
      <c r="E693" t="s">
        <v>71</v>
      </c>
      <c r="F693" t="s">
        <v>137</v>
      </c>
      <c r="G693" t="s">
        <v>82</v>
      </c>
      <c r="H693" t="s">
        <v>286</v>
      </c>
      <c r="I693" t="s">
        <v>27</v>
      </c>
      <c r="J693" t="s">
        <v>1322</v>
      </c>
      <c r="K693">
        <v>2022</v>
      </c>
      <c r="L693">
        <v>2</v>
      </c>
      <c r="M693">
        <v>12</v>
      </c>
      <c r="N693" t="s">
        <v>85</v>
      </c>
      <c r="O693">
        <v>2</v>
      </c>
      <c r="P693">
        <v>2</v>
      </c>
      <c r="Q693" t="s">
        <v>31</v>
      </c>
      <c r="R693">
        <v>12</v>
      </c>
      <c r="S693">
        <v>62</v>
      </c>
      <c r="T693">
        <v>50735</v>
      </c>
      <c r="U693">
        <v>11700</v>
      </c>
      <c r="V693">
        <v>7</v>
      </c>
      <c r="W693" t="s">
        <v>30</v>
      </c>
    </row>
    <row r="694" spans="1:23" x14ac:dyDescent="0.3">
      <c r="A694" t="s">
        <v>1323</v>
      </c>
      <c r="B694" t="s">
        <v>1828</v>
      </c>
      <c r="C694">
        <v>28</v>
      </c>
      <c r="D694" t="s">
        <v>41</v>
      </c>
      <c r="E694" t="s">
        <v>71</v>
      </c>
      <c r="F694" t="s">
        <v>47</v>
      </c>
      <c r="G694" t="s">
        <v>25</v>
      </c>
      <c r="H694" t="s">
        <v>26</v>
      </c>
      <c r="I694" t="s">
        <v>27</v>
      </c>
      <c r="J694" t="s">
        <v>1324</v>
      </c>
      <c r="K694">
        <v>2021</v>
      </c>
      <c r="L694">
        <v>3</v>
      </c>
      <c r="M694">
        <v>5</v>
      </c>
      <c r="N694" t="s">
        <v>85</v>
      </c>
      <c r="O694">
        <v>3</v>
      </c>
      <c r="P694">
        <v>2</v>
      </c>
      <c r="Q694" t="s">
        <v>30</v>
      </c>
      <c r="R694">
        <v>22</v>
      </c>
      <c r="S694">
        <v>60</v>
      </c>
      <c r="T694">
        <v>72038</v>
      </c>
      <c r="U694">
        <v>16000</v>
      </c>
      <c r="V694">
        <v>9.1999999999999993</v>
      </c>
      <c r="W694" t="s">
        <v>31</v>
      </c>
    </row>
    <row r="695" spans="1:23" x14ac:dyDescent="0.3">
      <c r="A695" t="s">
        <v>1325</v>
      </c>
      <c r="B695" t="s">
        <v>1964</v>
      </c>
      <c r="C695">
        <v>41</v>
      </c>
      <c r="D695" t="s">
        <v>41</v>
      </c>
      <c r="E695" t="s">
        <v>61</v>
      </c>
      <c r="F695" t="s">
        <v>35</v>
      </c>
      <c r="G695" t="s">
        <v>63</v>
      </c>
      <c r="H695" t="s">
        <v>225</v>
      </c>
      <c r="I695" t="s">
        <v>27</v>
      </c>
      <c r="J695" t="s">
        <v>775</v>
      </c>
      <c r="K695">
        <v>2023</v>
      </c>
      <c r="L695">
        <v>1</v>
      </c>
      <c r="M695">
        <v>13</v>
      </c>
      <c r="N695" t="s">
        <v>98</v>
      </c>
      <c r="O695">
        <v>1</v>
      </c>
      <c r="P695">
        <v>5</v>
      </c>
      <c r="Q695" t="s">
        <v>31</v>
      </c>
      <c r="R695">
        <v>3</v>
      </c>
      <c r="S695">
        <v>18</v>
      </c>
      <c r="T695">
        <v>42704</v>
      </c>
      <c r="U695">
        <v>3400</v>
      </c>
      <c r="V695">
        <v>11</v>
      </c>
      <c r="W695" t="s">
        <v>31</v>
      </c>
    </row>
    <row r="696" spans="1:23" x14ac:dyDescent="0.3">
      <c r="A696" t="s">
        <v>1326</v>
      </c>
      <c r="B696" t="s">
        <v>2162</v>
      </c>
      <c r="C696">
        <v>38</v>
      </c>
      <c r="D696" t="s">
        <v>22</v>
      </c>
      <c r="E696" t="s">
        <v>71</v>
      </c>
      <c r="F696" t="s">
        <v>62</v>
      </c>
      <c r="G696" t="s">
        <v>52</v>
      </c>
      <c r="H696" t="s">
        <v>132</v>
      </c>
      <c r="I696" t="s">
        <v>27</v>
      </c>
      <c r="J696" t="s">
        <v>442</v>
      </c>
      <c r="K696">
        <v>2021</v>
      </c>
      <c r="L696">
        <v>3</v>
      </c>
      <c r="M696">
        <v>11</v>
      </c>
      <c r="N696" t="s">
        <v>29</v>
      </c>
      <c r="O696">
        <v>2</v>
      </c>
      <c r="P696">
        <v>4</v>
      </c>
      <c r="Q696" t="s">
        <v>31</v>
      </c>
      <c r="R696">
        <v>20</v>
      </c>
      <c r="S696">
        <v>4</v>
      </c>
      <c r="T696">
        <v>76561</v>
      </c>
      <c r="U696">
        <v>7800</v>
      </c>
      <c r="V696">
        <v>10.7</v>
      </c>
      <c r="W696" t="s">
        <v>31</v>
      </c>
    </row>
    <row r="697" spans="1:23" x14ac:dyDescent="0.3">
      <c r="A697" t="s">
        <v>1327</v>
      </c>
      <c r="B697" t="s">
        <v>1814</v>
      </c>
      <c r="C697">
        <v>37</v>
      </c>
      <c r="D697" t="s">
        <v>41</v>
      </c>
      <c r="E697" t="s">
        <v>34</v>
      </c>
      <c r="F697" t="s">
        <v>24</v>
      </c>
      <c r="G697" t="s">
        <v>100</v>
      </c>
      <c r="H697" t="s">
        <v>101</v>
      </c>
      <c r="I697" t="s">
        <v>27</v>
      </c>
      <c r="J697" t="s">
        <v>1328</v>
      </c>
      <c r="K697">
        <v>2021</v>
      </c>
      <c r="L697">
        <v>3</v>
      </c>
      <c r="M697">
        <v>9</v>
      </c>
      <c r="N697" t="s">
        <v>29</v>
      </c>
      <c r="O697">
        <v>4</v>
      </c>
      <c r="P697">
        <v>3</v>
      </c>
      <c r="Q697" t="s">
        <v>31</v>
      </c>
      <c r="R697">
        <v>24</v>
      </c>
      <c r="S697">
        <v>72</v>
      </c>
      <c r="T697">
        <v>72611</v>
      </c>
      <c r="U697">
        <v>10300</v>
      </c>
      <c r="V697">
        <v>12.4</v>
      </c>
      <c r="W697" t="s">
        <v>31</v>
      </c>
    </row>
    <row r="698" spans="1:23" x14ac:dyDescent="0.3">
      <c r="A698" t="s">
        <v>1329</v>
      </c>
      <c r="B698" t="s">
        <v>1945</v>
      </c>
      <c r="C698">
        <v>43</v>
      </c>
      <c r="D698" t="s">
        <v>41</v>
      </c>
      <c r="E698" t="s">
        <v>34</v>
      </c>
      <c r="F698" t="s">
        <v>153</v>
      </c>
      <c r="G698" t="s">
        <v>25</v>
      </c>
      <c r="H698" t="s">
        <v>205</v>
      </c>
      <c r="I698" t="s">
        <v>27</v>
      </c>
      <c r="J698" t="s">
        <v>1330</v>
      </c>
      <c r="K698">
        <v>2023</v>
      </c>
      <c r="L698">
        <v>1</v>
      </c>
      <c r="M698">
        <v>16</v>
      </c>
      <c r="N698" t="s">
        <v>29</v>
      </c>
      <c r="O698">
        <v>1</v>
      </c>
      <c r="P698">
        <v>3</v>
      </c>
      <c r="Q698" t="s">
        <v>31</v>
      </c>
      <c r="R698">
        <v>22</v>
      </c>
      <c r="S698">
        <v>43</v>
      </c>
      <c r="T698">
        <v>64197</v>
      </c>
      <c r="U698">
        <v>8000</v>
      </c>
      <c r="V698">
        <v>14.5</v>
      </c>
      <c r="W698" t="s">
        <v>31</v>
      </c>
    </row>
    <row r="699" spans="1:23" x14ac:dyDescent="0.3">
      <c r="A699" t="s">
        <v>1331</v>
      </c>
      <c r="B699" t="s">
        <v>1898</v>
      </c>
      <c r="C699">
        <v>41</v>
      </c>
      <c r="D699" t="s">
        <v>41</v>
      </c>
      <c r="E699" t="s">
        <v>34</v>
      </c>
      <c r="F699" t="s">
        <v>137</v>
      </c>
      <c r="G699" t="s">
        <v>117</v>
      </c>
      <c r="H699" t="s">
        <v>184</v>
      </c>
      <c r="I699" t="s">
        <v>27</v>
      </c>
      <c r="J699" t="s">
        <v>1332</v>
      </c>
      <c r="K699">
        <v>2022</v>
      </c>
      <c r="L699">
        <v>2</v>
      </c>
      <c r="M699">
        <v>11</v>
      </c>
      <c r="N699" t="s">
        <v>98</v>
      </c>
      <c r="O699">
        <v>5</v>
      </c>
      <c r="P699">
        <v>5</v>
      </c>
      <c r="Q699" t="s">
        <v>31</v>
      </c>
      <c r="R699">
        <v>9</v>
      </c>
      <c r="S699">
        <v>68</v>
      </c>
      <c r="T699">
        <v>80604</v>
      </c>
      <c r="U699">
        <v>6800</v>
      </c>
      <c r="V699">
        <v>10.3</v>
      </c>
      <c r="W699" t="s">
        <v>31</v>
      </c>
    </row>
    <row r="700" spans="1:23" x14ac:dyDescent="0.3">
      <c r="A700" t="s">
        <v>1333</v>
      </c>
      <c r="B700" t="s">
        <v>2163</v>
      </c>
      <c r="C700">
        <v>32</v>
      </c>
      <c r="D700" t="s">
        <v>41</v>
      </c>
      <c r="E700" t="s">
        <v>61</v>
      </c>
      <c r="F700" t="s">
        <v>62</v>
      </c>
      <c r="G700" t="s">
        <v>43</v>
      </c>
      <c r="H700" t="s">
        <v>48</v>
      </c>
      <c r="I700" t="s">
        <v>27</v>
      </c>
      <c r="J700" t="s">
        <v>1098</v>
      </c>
      <c r="K700">
        <v>2024</v>
      </c>
      <c r="L700">
        <v>0</v>
      </c>
      <c r="M700">
        <v>3</v>
      </c>
      <c r="N700" t="s">
        <v>39</v>
      </c>
      <c r="O700">
        <v>3</v>
      </c>
      <c r="P700">
        <v>3</v>
      </c>
      <c r="Q700" t="s">
        <v>31</v>
      </c>
      <c r="R700">
        <v>20</v>
      </c>
      <c r="S700">
        <v>4</v>
      </c>
      <c r="T700">
        <v>124689</v>
      </c>
      <c r="U700">
        <v>4400</v>
      </c>
      <c r="V700">
        <v>10.3</v>
      </c>
      <c r="W700" t="s">
        <v>30</v>
      </c>
    </row>
    <row r="701" spans="1:23" x14ac:dyDescent="0.3">
      <c r="A701" t="s">
        <v>1334</v>
      </c>
      <c r="B701" t="s">
        <v>1980</v>
      </c>
      <c r="C701">
        <v>42</v>
      </c>
      <c r="D701" t="s">
        <v>33</v>
      </c>
      <c r="E701" t="s">
        <v>34</v>
      </c>
      <c r="F701" t="s">
        <v>42</v>
      </c>
      <c r="G701" t="s">
        <v>82</v>
      </c>
      <c r="H701" t="s">
        <v>83</v>
      </c>
      <c r="I701" t="s">
        <v>79</v>
      </c>
      <c r="J701" t="s">
        <v>1335</v>
      </c>
      <c r="K701">
        <v>2024</v>
      </c>
      <c r="L701">
        <v>0</v>
      </c>
      <c r="M701">
        <v>17</v>
      </c>
      <c r="N701" t="s">
        <v>29</v>
      </c>
      <c r="O701">
        <v>5</v>
      </c>
      <c r="P701">
        <v>4</v>
      </c>
      <c r="Q701" t="s">
        <v>31</v>
      </c>
      <c r="R701">
        <v>0</v>
      </c>
      <c r="S701">
        <v>64</v>
      </c>
      <c r="T701">
        <v>74442</v>
      </c>
      <c r="U701">
        <v>7200</v>
      </c>
      <c r="V701">
        <v>3.6</v>
      </c>
      <c r="W701" t="s">
        <v>30</v>
      </c>
    </row>
    <row r="702" spans="1:23" x14ac:dyDescent="0.3">
      <c r="A702" t="s">
        <v>1336</v>
      </c>
      <c r="B702" t="s">
        <v>2164</v>
      </c>
      <c r="C702">
        <v>48</v>
      </c>
      <c r="D702" t="s">
        <v>33</v>
      </c>
      <c r="E702" t="s">
        <v>34</v>
      </c>
      <c r="F702" t="s">
        <v>75</v>
      </c>
      <c r="G702" t="s">
        <v>25</v>
      </c>
      <c r="H702" t="s">
        <v>58</v>
      </c>
      <c r="I702" t="s">
        <v>27</v>
      </c>
      <c r="J702" t="s">
        <v>1337</v>
      </c>
      <c r="K702">
        <v>2024</v>
      </c>
      <c r="L702">
        <v>0</v>
      </c>
      <c r="M702">
        <v>18</v>
      </c>
      <c r="N702" t="s">
        <v>98</v>
      </c>
      <c r="O702">
        <v>4</v>
      </c>
      <c r="P702">
        <v>1</v>
      </c>
      <c r="Q702" t="s">
        <v>30</v>
      </c>
      <c r="R702">
        <v>10</v>
      </c>
      <c r="S702">
        <v>31</v>
      </c>
      <c r="T702">
        <v>62593</v>
      </c>
      <c r="U702">
        <v>5100</v>
      </c>
      <c r="V702">
        <v>7.7</v>
      </c>
      <c r="W702" t="s">
        <v>31</v>
      </c>
    </row>
    <row r="703" spans="1:23" x14ac:dyDescent="0.3">
      <c r="A703" t="s">
        <v>1338</v>
      </c>
      <c r="B703" t="s">
        <v>1930</v>
      </c>
      <c r="C703">
        <v>36</v>
      </c>
      <c r="D703" t="s">
        <v>41</v>
      </c>
      <c r="E703" t="s">
        <v>34</v>
      </c>
      <c r="F703" t="s">
        <v>42</v>
      </c>
      <c r="G703" t="s">
        <v>63</v>
      </c>
      <c r="H703" t="s">
        <v>225</v>
      </c>
      <c r="I703" t="s">
        <v>27</v>
      </c>
      <c r="J703" t="s">
        <v>1339</v>
      </c>
      <c r="K703">
        <v>2023</v>
      </c>
      <c r="L703">
        <v>1</v>
      </c>
      <c r="M703">
        <v>10</v>
      </c>
      <c r="N703" t="s">
        <v>29</v>
      </c>
      <c r="O703">
        <v>1</v>
      </c>
      <c r="P703">
        <v>1</v>
      </c>
      <c r="Q703" t="s">
        <v>30</v>
      </c>
      <c r="R703">
        <v>4</v>
      </c>
      <c r="S703">
        <v>15</v>
      </c>
      <c r="T703">
        <v>64686</v>
      </c>
      <c r="U703">
        <v>8500</v>
      </c>
      <c r="V703">
        <v>7.3</v>
      </c>
      <c r="W703" t="s">
        <v>31</v>
      </c>
    </row>
    <row r="704" spans="1:23" x14ac:dyDescent="0.3">
      <c r="A704" t="s">
        <v>1340</v>
      </c>
      <c r="B704" t="s">
        <v>2165</v>
      </c>
      <c r="C704">
        <v>42</v>
      </c>
      <c r="D704" t="s">
        <v>33</v>
      </c>
      <c r="E704" t="s">
        <v>34</v>
      </c>
      <c r="F704" t="s">
        <v>57</v>
      </c>
      <c r="G704" t="s">
        <v>52</v>
      </c>
      <c r="H704" t="s">
        <v>132</v>
      </c>
      <c r="I704" t="s">
        <v>27</v>
      </c>
      <c r="J704" t="s">
        <v>1341</v>
      </c>
      <c r="K704">
        <v>2023</v>
      </c>
      <c r="L704">
        <v>1</v>
      </c>
      <c r="M704">
        <v>15</v>
      </c>
      <c r="N704" t="s">
        <v>29</v>
      </c>
      <c r="O704">
        <v>4</v>
      </c>
      <c r="P704">
        <v>2</v>
      </c>
      <c r="Q704" t="s">
        <v>30</v>
      </c>
      <c r="R704">
        <v>17</v>
      </c>
      <c r="S704">
        <v>32</v>
      </c>
      <c r="T704">
        <v>80035</v>
      </c>
      <c r="U704">
        <v>8200</v>
      </c>
      <c r="V704">
        <v>11</v>
      </c>
      <c r="W704" t="s">
        <v>31</v>
      </c>
    </row>
    <row r="705" spans="1:23" x14ac:dyDescent="0.3">
      <c r="A705" t="s">
        <v>1342</v>
      </c>
      <c r="B705" t="s">
        <v>1895</v>
      </c>
      <c r="C705">
        <v>32</v>
      </c>
      <c r="D705" t="s">
        <v>33</v>
      </c>
      <c r="E705" t="s">
        <v>34</v>
      </c>
      <c r="F705" t="s">
        <v>153</v>
      </c>
      <c r="G705" t="s">
        <v>36</v>
      </c>
      <c r="H705" t="s">
        <v>76</v>
      </c>
      <c r="I705" t="s">
        <v>27</v>
      </c>
      <c r="J705" t="s">
        <v>428</v>
      </c>
      <c r="K705">
        <v>2021</v>
      </c>
      <c r="L705">
        <v>3</v>
      </c>
      <c r="M705">
        <v>5</v>
      </c>
      <c r="N705" t="s">
        <v>29</v>
      </c>
      <c r="O705">
        <v>4</v>
      </c>
      <c r="P705">
        <v>1</v>
      </c>
      <c r="Q705" t="s">
        <v>30</v>
      </c>
      <c r="R705">
        <v>16</v>
      </c>
      <c r="S705">
        <v>51</v>
      </c>
      <c r="T705">
        <v>90189</v>
      </c>
      <c r="U705">
        <v>10700</v>
      </c>
      <c r="V705">
        <v>14.1</v>
      </c>
      <c r="W705" t="s">
        <v>31</v>
      </c>
    </row>
    <row r="706" spans="1:23" x14ac:dyDescent="0.3">
      <c r="A706" t="s">
        <v>1343</v>
      </c>
      <c r="B706" t="s">
        <v>1922</v>
      </c>
      <c r="C706">
        <v>28</v>
      </c>
      <c r="D706" t="s">
        <v>41</v>
      </c>
      <c r="E706" t="s">
        <v>61</v>
      </c>
      <c r="F706" t="s">
        <v>137</v>
      </c>
      <c r="G706" t="s">
        <v>36</v>
      </c>
      <c r="H706" t="s">
        <v>37</v>
      </c>
      <c r="I706" t="s">
        <v>27</v>
      </c>
      <c r="J706" t="s">
        <v>236</v>
      </c>
      <c r="K706">
        <v>2024</v>
      </c>
      <c r="L706">
        <v>0</v>
      </c>
      <c r="M706">
        <v>3</v>
      </c>
      <c r="N706" t="s">
        <v>29</v>
      </c>
      <c r="O706">
        <v>1</v>
      </c>
      <c r="P706">
        <v>5</v>
      </c>
      <c r="Q706" t="s">
        <v>31</v>
      </c>
      <c r="R706">
        <v>11</v>
      </c>
      <c r="S706">
        <v>2</v>
      </c>
      <c r="T706">
        <v>77399</v>
      </c>
      <c r="U706">
        <v>9100</v>
      </c>
      <c r="V706">
        <v>6.9</v>
      </c>
      <c r="W706" t="s">
        <v>31</v>
      </c>
    </row>
    <row r="707" spans="1:23" x14ac:dyDescent="0.3">
      <c r="A707" t="s">
        <v>1344</v>
      </c>
      <c r="B707" t="s">
        <v>2166</v>
      </c>
      <c r="C707">
        <v>38</v>
      </c>
      <c r="D707" t="s">
        <v>33</v>
      </c>
      <c r="E707" t="s">
        <v>34</v>
      </c>
      <c r="F707" t="s">
        <v>42</v>
      </c>
      <c r="G707" t="s">
        <v>43</v>
      </c>
      <c r="H707" t="s">
        <v>96</v>
      </c>
      <c r="I707" t="s">
        <v>27</v>
      </c>
      <c r="J707" t="s">
        <v>1345</v>
      </c>
      <c r="K707">
        <v>2021</v>
      </c>
      <c r="L707">
        <v>3</v>
      </c>
      <c r="M707">
        <v>15</v>
      </c>
      <c r="N707" t="s">
        <v>29</v>
      </c>
      <c r="O707">
        <v>3</v>
      </c>
      <c r="P707">
        <v>1</v>
      </c>
      <c r="Q707" t="s">
        <v>31</v>
      </c>
      <c r="R707">
        <v>19</v>
      </c>
      <c r="S707">
        <v>4</v>
      </c>
      <c r="T707">
        <v>82579</v>
      </c>
      <c r="U707">
        <v>10200</v>
      </c>
      <c r="V707">
        <v>4.4000000000000004</v>
      </c>
      <c r="W707" t="s">
        <v>31</v>
      </c>
    </row>
    <row r="708" spans="1:23" x14ac:dyDescent="0.3">
      <c r="A708" t="s">
        <v>1346</v>
      </c>
      <c r="B708" t="s">
        <v>1918</v>
      </c>
      <c r="C708">
        <v>26</v>
      </c>
      <c r="D708" t="s">
        <v>41</v>
      </c>
      <c r="E708" t="s">
        <v>56</v>
      </c>
      <c r="F708" t="s">
        <v>24</v>
      </c>
      <c r="G708" t="s">
        <v>52</v>
      </c>
      <c r="H708" t="s">
        <v>208</v>
      </c>
      <c r="I708" t="s">
        <v>79</v>
      </c>
      <c r="J708" t="s">
        <v>1347</v>
      </c>
      <c r="K708">
        <v>2024</v>
      </c>
      <c r="L708">
        <v>0</v>
      </c>
      <c r="M708">
        <v>4</v>
      </c>
      <c r="N708" t="s">
        <v>39</v>
      </c>
      <c r="O708">
        <v>1</v>
      </c>
      <c r="P708">
        <v>5</v>
      </c>
      <c r="Q708" t="s">
        <v>30</v>
      </c>
      <c r="R708">
        <v>11</v>
      </c>
      <c r="S708">
        <v>9</v>
      </c>
      <c r="T708">
        <v>88569</v>
      </c>
      <c r="U708">
        <v>2300</v>
      </c>
      <c r="V708">
        <v>6.1</v>
      </c>
      <c r="W708" t="s">
        <v>30</v>
      </c>
    </row>
    <row r="709" spans="1:23" x14ac:dyDescent="0.3">
      <c r="A709" t="s">
        <v>1348</v>
      </c>
      <c r="B709" t="s">
        <v>2070</v>
      </c>
      <c r="C709">
        <v>35</v>
      </c>
      <c r="D709" t="s">
        <v>41</v>
      </c>
      <c r="E709" t="s">
        <v>71</v>
      </c>
      <c r="F709" t="s">
        <v>47</v>
      </c>
      <c r="G709" t="s">
        <v>100</v>
      </c>
      <c r="H709" t="s">
        <v>129</v>
      </c>
      <c r="I709" t="s">
        <v>27</v>
      </c>
      <c r="J709" t="s">
        <v>180</v>
      </c>
      <c r="K709">
        <v>2021</v>
      </c>
      <c r="L709">
        <v>3</v>
      </c>
      <c r="M709">
        <v>11</v>
      </c>
      <c r="N709" t="s">
        <v>39</v>
      </c>
      <c r="O709">
        <v>3</v>
      </c>
      <c r="P709">
        <v>1</v>
      </c>
      <c r="Q709" t="s">
        <v>30</v>
      </c>
      <c r="R709">
        <v>5</v>
      </c>
      <c r="S709">
        <v>73</v>
      </c>
      <c r="T709">
        <v>49006</v>
      </c>
      <c r="U709">
        <v>1500</v>
      </c>
      <c r="V709">
        <v>13.2</v>
      </c>
      <c r="W709" t="s">
        <v>30</v>
      </c>
    </row>
    <row r="710" spans="1:23" x14ac:dyDescent="0.3">
      <c r="A710" t="s">
        <v>1349</v>
      </c>
      <c r="B710" t="s">
        <v>1929</v>
      </c>
      <c r="C710">
        <v>48</v>
      </c>
      <c r="D710" t="s">
        <v>33</v>
      </c>
      <c r="E710" t="s">
        <v>56</v>
      </c>
      <c r="F710" t="s">
        <v>42</v>
      </c>
      <c r="G710" t="s">
        <v>43</v>
      </c>
      <c r="H710" t="s">
        <v>44</v>
      </c>
      <c r="I710" t="s">
        <v>27</v>
      </c>
      <c r="J710" t="s">
        <v>1350</v>
      </c>
      <c r="K710">
        <v>2021</v>
      </c>
      <c r="L710">
        <v>3</v>
      </c>
      <c r="M710">
        <v>18</v>
      </c>
      <c r="N710" t="s">
        <v>98</v>
      </c>
      <c r="O710">
        <v>1</v>
      </c>
      <c r="P710">
        <v>4</v>
      </c>
      <c r="Q710" t="s">
        <v>30</v>
      </c>
      <c r="R710">
        <v>24</v>
      </c>
      <c r="S710">
        <v>5</v>
      </c>
      <c r="T710">
        <v>80441</v>
      </c>
      <c r="U710">
        <v>5700</v>
      </c>
      <c r="V710">
        <v>9.9</v>
      </c>
      <c r="W710" t="s">
        <v>31</v>
      </c>
    </row>
    <row r="711" spans="1:23" x14ac:dyDescent="0.3">
      <c r="A711" t="s">
        <v>1351</v>
      </c>
      <c r="B711" t="s">
        <v>2167</v>
      </c>
      <c r="C711">
        <v>26</v>
      </c>
      <c r="D711" t="s">
        <v>33</v>
      </c>
      <c r="E711" t="s">
        <v>34</v>
      </c>
      <c r="F711" t="s">
        <v>57</v>
      </c>
      <c r="G711" t="s">
        <v>36</v>
      </c>
      <c r="H711" t="s">
        <v>68</v>
      </c>
      <c r="I711" t="s">
        <v>27</v>
      </c>
      <c r="J711" t="s">
        <v>1352</v>
      </c>
      <c r="K711">
        <v>2023</v>
      </c>
      <c r="L711">
        <v>1</v>
      </c>
      <c r="M711">
        <v>2</v>
      </c>
      <c r="N711" t="s">
        <v>85</v>
      </c>
      <c r="O711">
        <v>5</v>
      </c>
      <c r="P711">
        <v>5</v>
      </c>
      <c r="Q711" t="s">
        <v>31</v>
      </c>
      <c r="R711">
        <v>7</v>
      </c>
      <c r="S711">
        <v>10</v>
      </c>
      <c r="T711">
        <v>83555</v>
      </c>
      <c r="U711">
        <v>19300</v>
      </c>
      <c r="V711">
        <v>3.5</v>
      </c>
      <c r="W711" t="s">
        <v>31</v>
      </c>
    </row>
    <row r="712" spans="1:23" x14ac:dyDescent="0.3">
      <c r="A712" t="s">
        <v>1353</v>
      </c>
      <c r="B712" t="s">
        <v>1984</v>
      </c>
      <c r="C712">
        <v>30</v>
      </c>
      <c r="D712" t="s">
        <v>41</v>
      </c>
      <c r="E712" t="s">
        <v>34</v>
      </c>
      <c r="F712" t="s">
        <v>153</v>
      </c>
      <c r="G712" t="s">
        <v>25</v>
      </c>
      <c r="H712" t="s">
        <v>58</v>
      </c>
      <c r="I712" t="s">
        <v>27</v>
      </c>
      <c r="J712" t="s">
        <v>920</v>
      </c>
      <c r="K712">
        <v>2021</v>
      </c>
      <c r="L712">
        <v>3</v>
      </c>
      <c r="M712">
        <v>1</v>
      </c>
      <c r="N712" t="s">
        <v>85</v>
      </c>
      <c r="O712">
        <v>5</v>
      </c>
      <c r="P712">
        <v>3</v>
      </c>
      <c r="Q712" t="s">
        <v>30</v>
      </c>
      <c r="R712">
        <v>18</v>
      </c>
      <c r="S712">
        <v>24</v>
      </c>
      <c r="T712">
        <v>101410</v>
      </c>
      <c r="U712">
        <v>22200</v>
      </c>
      <c r="V712">
        <v>12.9</v>
      </c>
      <c r="W712" t="s">
        <v>31</v>
      </c>
    </row>
    <row r="713" spans="1:23" x14ac:dyDescent="0.3">
      <c r="A713" t="s">
        <v>1354</v>
      </c>
      <c r="B713" t="s">
        <v>1815</v>
      </c>
      <c r="C713">
        <v>38</v>
      </c>
      <c r="D713" t="s">
        <v>33</v>
      </c>
      <c r="E713" t="s">
        <v>61</v>
      </c>
      <c r="F713" t="s">
        <v>75</v>
      </c>
      <c r="G713" t="s">
        <v>25</v>
      </c>
      <c r="H713" t="s">
        <v>110</v>
      </c>
      <c r="I713" t="s">
        <v>27</v>
      </c>
      <c r="J713" t="s">
        <v>681</v>
      </c>
      <c r="K713">
        <v>2022</v>
      </c>
      <c r="L713">
        <v>2</v>
      </c>
      <c r="M713">
        <v>13</v>
      </c>
      <c r="N713" t="s">
        <v>29</v>
      </c>
      <c r="O713">
        <v>1</v>
      </c>
      <c r="P713">
        <v>4</v>
      </c>
      <c r="Q713" t="s">
        <v>30</v>
      </c>
      <c r="R713">
        <v>8</v>
      </c>
      <c r="S713">
        <v>77</v>
      </c>
      <c r="T713">
        <v>74182</v>
      </c>
      <c r="U713">
        <v>8600</v>
      </c>
      <c r="V713">
        <v>10.1</v>
      </c>
      <c r="W713" t="s">
        <v>31</v>
      </c>
    </row>
    <row r="714" spans="1:23" x14ac:dyDescent="0.3">
      <c r="A714" t="s">
        <v>1355</v>
      </c>
      <c r="B714" t="s">
        <v>1943</v>
      </c>
      <c r="C714">
        <v>29</v>
      </c>
      <c r="D714" t="s">
        <v>41</v>
      </c>
      <c r="E714" t="s">
        <v>61</v>
      </c>
      <c r="F714" t="s">
        <v>137</v>
      </c>
      <c r="G714" t="s">
        <v>117</v>
      </c>
      <c r="H714" t="s">
        <v>118</v>
      </c>
      <c r="I714" t="s">
        <v>27</v>
      </c>
      <c r="J714" t="s">
        <v>1356</v>
      </c>
      <c r="K714">
        <v>2022</v>
      </c>
      <c r="L714">
        <v>2</v>
      </c>
      <c r="M714">
        <v>5</v>
      </c>
      <c r="N714" t="s">
        <v>85</v>
      </c>
      <c r="O714">
        <v>4</v>
      </c>
      <c r="P714">
        <v>2</v>
      </c>
      <c r="Q714" t="s">
        <v>31</v>
      </c>
      <c r="R714">
        <v>6</v>
      </c>
      <c r="S714">
        <v>35</v>
      </c>
      <c r="T714">
        <v>93024</v>
      </c>
      <c r="U714">
        <v>19900</v>
      </c>
      <c r="V714">
        <v>4.5999999999999996</v>
      </c>
      <c r="W714" t="s">
        <v>30</v>
      </c>
    </row>
    <row r="715" spans="1:23" x14ac:dyDescent="0.3">
      <c r="A715" t="s">
        <v>1357</v>
      </c>
      <c r="B715" t="s">
        <v>2118</v>
      </c>
      <c r="C715">
        <v>37</v>
      </c>
      <c r="D715" t="s">
        <v>33</v>
      </c>
      <c r="E715" t="s">
        <v>34</v>
      </c>
      <c r="F715" t="s">
        <v>153</v>
      </c>
      <c r="G715" t="s">
        <v>82</v>
      </c>
      <c r="H715" t="s">
        <v>286</v>
      </c>
      <c r="I715" t="s">
        <v>27</v>
      </c>
      <c r="J715" t="s">
        <v>1358</v>
      </c>
      <c r="K715">
        <v>2021</v>
      </c>
      <c r="L715">
        <v>3</v>
      </c>
      <c r="M715">
        <v>14</v>
      </c>
      <c r="N715" t="s">
        <v>85</v>
      </c>
      <c r="O715">
        <v>5</v>
      </c>
      <c r="P715">
        <v>3</v>
      </c>
      <c r="Q715" t="s">
        <v>31</v>
      </c>
      <c r="R715">
        <v>14</v>
      </c>
      <c r="S715">
        <v>25</v>
      </c>
      <c r="T715">
        <v>74299</v>
      </c>
      <c r="U715">
        <v>16200</v>
      </c>
      <c r="V715">
        <v>12.4</v>
      </c>
      <c r="W715" t="s">
        <v>31</v>
      </c>
    </row>
    <row r="716" spans="1:23" x14ac:dyDescent="0.3">
      <c r="A716" t="s">
        <v>1359</v>
      </c>
      <c r="B716" t="s">
        <v>2092</v>
      </c>
      <c r="C716">
        <v>37</v>
      </c>
      <c r="D716" t="s">
        <v>41</v>
      </c>
      <c r="E716" t="s">
        <v>34</v>
      </c>
      <c r="F716" t="s">
        <v>42</v>
      </c>
      <c r="G716" t="s">
        <v>82</v>
      </c>
      <c r="H716" t="s">
        <v>83</v>
      </c>
      <c r="I716" t="s">
        <v>27</v>
      </c>
      <c r="J716" t="s">
        <v>833</v>
      </c>
      <c r="K716">
        <v>2022</v>
      </c>
      <c r="L716">
        <v>2</v>
      </c>
      <c r="M716">
        <v>9</v>
      </c>
      <c r="N716" t="s">
        <v>29</v>
      </c>
      <c r="O716">
        <v>4</v>
      </c>
      <c r="P716">
        <v>1</v>
      </c>
      <c r="Q716" t="s">
        <v>31</v>
      </c>
      <c r="R716">
        <v>9</v>
      </c>
      <c r="S716">
        <v>18</v>
      </c>
      <c r="T716">
        <v>45200</v>
      </c>
      <c r="U716">
        <v>4700</v>
      </c>
      <c r="V716">
        <v>12.4</v>
      </c>
      <c r="W716" t="s">
        <v>31</v>
      </c>
    </row>
    <row r="717" spans="1:23" x14ac:dyDescent="0.3">
      <c r="A717" t="s">
        <v>1360</v>
      </c>
      <c r="B717" t="s">
        <v>2168</v>
      </c>
      <c r="C717">
        <v>40</v>
      </c>
      <c r="D717" t="s">
        <v>41</v>
      </c>
      <c r="E717" t="s">
        <v>71</v>
      </c>
      <c r="F717" t="s">
        <v>153</v>
      </c>
      <c r="G717" t="s">
        <v>36</v>
      </c>
      <c r="H717" t="s">
        <v>68</v>
      </c>
      <c r="I717" t="s">
        <v>27</v>
      </c>
      <c r="J717" t="s">
        <v>1361</v>
      </c>
      <c r="K717">
        <v>2021</v>
      </c>
      <c r="L717">
        <v>3</v>
      </c>
      <c r="M717">
        <v>17</v>
      </c>
      <c r="N717" t="s">
        <v>29</v>
      </c>
      <c r="O717">
        <v>4</v>
      </c>
      <c r="P717">
        <v>2</v>
      </c>
      <c r="Q717" t="s">
        <v>31</v>
      </c>
      <c r="R717">
        <v>14</v>
      </c>
      <c r="S717">
        <v>17</v>
      </c>
      <c r="T717">
        <v>67796</v>
      </c>
      <c r="U717">
        <v>7200</v>
      </c>
      <c r="V717">
        <v>5.4</v>
      </c>
      <c r="W717" t="s">
        <v>31</v>
      </c>
    </row>
    <row r="718" spans="1:23" x14ac:dyDescent="0.3">
      <c r="A718" t="s">
        <v>1362</v>
      </c>
      <c r="B718" t="s">
        <v>1908</v>
      </c>
      <c r="C718">
        <v>41</v>
      </c>
      <c r="D718" t="s">
        <v>33</v>
      </c>
      <c r="E718" t="s">
        <v>34</v>
      </c>
      <c r="F718" t="s">
        <v>47</v>
      </c>
      <c r="G718" t="s">
        <v>36</v>
      </c>
      <c r="H718" t="s">
        <v>76</v>
      </c>
      <c r="I718" t="s">
        <v>27</v>
      </c>
      <c r="J718" t="s">
        <v>1363</v>
      </c>
      <c r="K718">
        <v>2024</v>
      </c>
      <c r="L718">
        <v>0</v>
      </c>
      <c r="M718">
        <v>17</v>
      </c>
      <c r="N718" t="s">
        <v>29</v>
      </c>
      <c r="O718">
        <v>1</v>
      </c>
      <c r="P718">
        <v>1</v>
      </c>
      <c r="Q718" t="s">
        <v>31</v>
      </c>
      <c r="R718">
        <v>18</v>
      </c>
      <c r="S718">
        <v>13</v>
      </c>
      <c r="T718">
        <v>92267</v>
      </c>
      <c r="U718">
        <v>10000</v>
      </c>
      <c r="V718">
        <v>4.2</v>
      </c>
      <c r="W718" t="s">
        <v>31</v>
      </c>
    </row>
    <row r="719" spans="1:23" x14ac:dyDescent="0.3">
      <c r="A719" t="s">
        <v>1364</v>
      </c>
      <c r="B719" t="s">
        <v>2169</v>
      </c>
      <c r="C719">
        <v>50</v>
      </c>
      <c r="D719" t="s">
        <v>33</v>
      </c>
      <c r="E719" t="s">
        <v>56</v>
      </c>
      <c r="F719" t="s">
        <v>42</v>
      </c>
      <c r="G719" t="s">
        <v>43</v>
      </c>
      <c r="H719" t="s">
        <v>44</v>
      </c>
      <c r="I719" t="s">
        <v>27</v>
      </c>
      <c r="J719" t="s">
        <v>1365</v>
      </c>
      <c r="K719">
        <v>2022</v>
      </c>
      <c r="L719">
        <v>2</v>
      </c>
      <c r="M719">
        <v>20</v>
      </c>
      <c r="N719" t="s">
        <v>39</v>
      </c>
      <c r="O719">
        <v>3</v>
      </c>
      <c r="P719">
        <v>1</v>
      </c>
      <c r="Q719" t="s">
        <v>31</v>
      </c>
      <c r="R719">
        <v>15</v>
      </c>
      <c r="S719">
        <v>24</v>
      </c>
      <c r="T719">
        <v>135147</v>
      </c>
      <c r="U719">
        <v>3200</v>
      </c>
      <c r="V719">
        <v>14.5</v>
      </c>
      <c r="W719" t="s">
        <v>30</v>
      </c>
    </row>
    <row r="720" spans="1:23" x14ac:dyDescent="0.3">
      <c r="A720" t="s">
        <v>1366</v>
      </c>
      <c r="B720" t="s">
        <v>1900</v>
      </c>
      <c r="C720">
        <v>34</v>
      </c>
      <c r="D720" t="s">
        <v>41</v>
      </c>
      <c r="E720" t="s">
        <v>71</v>
      </c>
      <c r="F720" t="s">
        <v>24</v>
      </c>
      <c r="G720" t="s">
        <v>43</v>
      </c>
      <c r="H720" t="s">
        <v>44</v>
      </c>
      <c r="I720" t="s">
        <v>27</v>
      </c>
      <c r="J720" t="s">
        <v>1367</v>
      </c>
      <c r="K720">
        <v>2024</v>
      </c>
      <c r="L720">
        <v>0</v>
      </c>
      <c r="M720">
        <v>9</v>
      </c>
      <c r="N720" t="s">
        <v>85</v>
      </c>
      <c r="O720">
        <v>2</v>
      </c>
      <c r="P720">
        <v>5</v>
      </c>
      <c r="Q720" t="s">
        <v>30</v>
      </c>
      <c r="R720">
        <v>10</v>
      </c>
      <c r="S720">
        <v>63</v>
      </c>
      <c r="T720">
        <v>116777</v>
      </c>
      <c r="U720">
        <v>23100</v>
      </c>
      <c r="V720">
        <v>5.4</v>
      </c>
      <c r="W720" t="s">
        <v>31</v>
      </c>
    </row>
    <row r="721" spans="1:23" x14ac:dyDescent="0.3">
      <c r="A721" t="s">
        <v>1368</v>
      </c>
      <c r="B721" t="s">
        <v>2170</v>
      </c>
      <c r="C721">
        <v>30</v>
      </c>
      <c r="D721" t="s">
        <v>41</v>
      </c>
      <c r="E721" t="s">
        <v>34</v>
      </c>
      <c r="F721" t="s">
        <v>42</v>
      </c>
      <c r="G721" t="s">
        <v>43</v>
      </c>
      <c r="H721" t="s">
        <v>44</v>
      </c>
      <c r="I721" t="s">
        <v>27</v>
      </c>
      <c r="J721" t="s">
        <v>1369</v>
      </c>
      <c r="K721">
        <v>2021</v>
      </c>
      <c r="L721">
        <v>3</v>
      </c>
      <c r="M721">
        <v>5</v>
      </c>
      <c r="N721" t="s">
        <v>29</v>
      </c>
      <c r="O721">
        <v>2</v>
      </c>
      <c r="P721">
        <v>2</v>
      </c>
      <c r="Q721" t="s">
        <v>31</v>
      </c>
      <c r="R721">
        <v>23</v>
      </c>
      <c r="S721">
        <v>27</v>
      </c>
      <c r="T721">
        <v>75751</v>
      </c>
      <c r="U721">
        <v>8800</v>
      </c>
      <c r="V721">
        <v>15</v>
      </c>
      <c r="W721" t="s">
        <v>30</v>
      </c>
    </row>
    <row r="722" spans="1:23" x14ac:dyDescent="0.3">
      <c r="A722" t="s">
        <v>1370</v>
      </c>
      <c r="B722" t="s">
        <v>2091</v>
      </c>
      <c r="C722">
        <v>30</v>
      </c>
      <c r="D722" t="s">
        <v>41</v>
      </c>
      <c r="E722" t="s">
        <v>71</v>
      </c>
      <c r="F722" t="s">
        <v>47</v>
      </c>
      <c r="G722" t="s">
        <v>36</v>
      </c>
      <c r="H722" t="s">
        <v>37</v>
      </c>
      <c r="I722" t="s">
        <v>27</v>
      </c>
      <c r="J722" t="s">
        <v>1371</v>
      </c>
      <c r="K722">
        <v>2021</v>
      </c>
      <c r="L722">
        <v>3</v>
      </c>
      <c r="M722">
        <v>4</v>
      </c>
      <c r="N722" t="s">
        <v>98</v>
      </c>
      <c r="O722">
        <v>5</v>
      </c>
      <c r="P722">
        <v>2</v>
      </c>
      <c r="Q722" t="s">
        <v>30</v>
      </c>
      <c r="R722">
        <v>1</v>
      </c>
      <c r="S722">
        <v>60</v>
      </c>
      <c r="T722">
        <v>74480</v>
      </c>
      <c r="U722">
        <v>4400</v>
      </c>
      <c r="V722">
        <v>14.1</v>
      </c>
      <c r="W722" t="s">
        <v>31</v>
      </c>
    </row>
    <row r="723" spans="1:23" x14ac:dyDescent="0.3">
      <c r="A723" t="s">
        <v>1372</v>
      </c>
      <c r="B723" t="s">
        <v>1868</v>
      </c>
      <c r="C723">
        <v>35</v>
      </c>
      <c r="D723" t="s">
        <v>33</v>
      </c>
      <c r="E723" t="s">
        <v>56</v>
      </c>
      <c r="F723" t="s">
        <v>24</v>
      </c>
      <c r="G723" t="s">
        <v>117</v>
      </c>
      <c r="H723" t="s">
        <v>184</v>
      </c>
      <c r="I723" t="s">
        <v>65</v>
      </c>
      <c r="J723" t="s">
        <v>1373</v>
      </c>
      <c r="K723">
        <v>2021</v>
      </c>
      <c r="L723">
        <v>3</v>
      </c>
      <c r="M723">
        <v>7</v>
      </c>
      <c r="N723" t="s">
        <v>85</v>
      </c>
      <c r="O723">
        <v>4</v>
      </c>
      <c r="P723">
        <v>5</v>
      </c>
      <c r="Q723" t="s">
        <v>31</v>
      </c>
      <c r="R723">
        <v>22</v>
      </c>
      <c r="S723">
        <v>21</v>
      </c>
      <c r="T723">
        <v>61559</v>
      </c>
      <c r="U723">
        <v>12700</v>
      </c>
      <c r="V723">
        <v>14.1</v>
      </c>
      <c r="W723" t="s">
        <v>31</v>
      </c>
    </row>
    <row r="724" spans="1:23" x14ac:dyDescent="0.3">
      <c r="A724" t="s">
        <v>1374</v>
      </c>
      <c r="B724" t="s">
        <v>2019</v>
      </c>
      <c r="C724">
        <v>31</v>
      </c>
      <c r="D724" t="s">
        <v>33</v>
      </c>
      <c r="E724" t="s">
        <v>61</v>
      </c>
      <c r="F724" t="s">
        <v>51</v>
      </c>
      <c r="G724" t="s">
        <v>52</v>
      </c>
      <c r="H724" t="s">
        <v>132</v>
      </c>
      <c r="I724" t="s">
        <v>27</v>
      </c>
      <c r="J724" t="s">
        <v>1375</v>
      </c>
      <c r="K724">
        <v>2021</v>
      </c>
      <c r="L724">
        <v>3</v>
      </c>
      <c r="M724">
        <v>7</v>
      </c>
      <c r="N724" t="s">
        <v>98</v>
      </c>
      <c r="O724">
        <v>4</v>
      </c>
      <c r="P724">
        <v>2</v>
      </c>
      <c r="Q724" t="s">
        <v>30</v>
      </c>
      <c r="R724">
        <v>19</v>
      </c>
      <c r="S724">
        <v>17</v>
      </c>
      <c r="T724">
        <v>60349</v>
      </c>
      <c r="U724">
        <v>4600</v>
      </c>
      <c r="V724">
        <v>5.4</v>
      </c>
      <c r="W724" t="s">
        <v>31</v>
      </c>
    </row>
    <row r="725" spans="1:23" x14ac:dyDescent="0.3">
      <c r="A725" t="s">
        <v>1376</v>
      </c>
      <c r="B725" t="s">
        <v>2023</v>
      </c>
      <c r="C725">
        <v>38</v>
      </c>
      <c r="D725" t="s">
        <v>41</v>
      </c>
      <c r="E725" t="s">
        <v>34</v>
      </c>
      <c r="F725" t="s">
        <v>35</v>
      </c>
      <c r="G725" t="s">
        <v>100</v>
      </c>
      <c r="H725" t="s">
        <v>150</v>
      </c>
      <c r="I725" t="s">
        <v>27</v>
      </c>
      <c r="J725" t="s">
        <v>1226</v>
      </c>
      <c r="K725">
        <v>2022</v>
      </c>
      <c r="L725">
        <v>2</v>
      </c>
      <c r="M725">
        <v>10</v>
      </c>
      <c r="N725" t="s">
        <v>98</v>
      </c>
      <c r="O725">
        <v>4</v>
      </c>
      <c r="P725">
        <v>1</v>
      </c>
      <c r="Q725" t="s">
        <v>30</v>
      </c>
      <c r="R725">
        <v>2</v>
      </c>
      <c r="S725">
        <v>20</v>
      </c>
      <c r="T725">
        <v>44146</v>
      </c>
      <c r="U725">
        <v>2700</v>
      </c>
      <c r="V725">
        <v>7.5</v>
      </c>
      <c r="W725" t="s">
        <v>31</v>
      </c>
    </row>
    <row r="726" spans="1:23" x14ac:dyDescent="0.3">
      <c r="A726" t="s">
        <v>1377</v>
      </c>
      <c r="B726" t="s">
        <v>1938</v>
      </c>
      <c r="C726">
        <v>32</v>
      </c>
      <c r="D726" t="s">
        <v>41</v>
      </c>
      <c r="E726" t="s">
        <v>71</v>
      </c>
      <c r="F726" t="s">
        <v>62</v>
      </c>
      <c r="G726" t="s">
        <v>117</v>
      </c>
      <c r="H726" t="s">
        <v>198</v>
      </c>
      <c r="I726" t="s">
        <v>65</v>
      </c>
      <c r="J726" t="s">
        <v>1269</v>
      </c>
      <c r="K726">
        <v>2024</v>
      </c>
      <c r="L726">
        <v>0</v>
      </c>
      <c r="M726">
        <v>6</v>
      </c>
      <c r="N726" t="s">
        <v>29</v>
      </c>
      <c r="O726">
        <v>4</v>
      </c>
      <c r="P726">
        <v>2</v>
      </c>
      <c r="Q726" t="s">
        <v>31</v>
      </c>
      <c r="R726">
        <v>19</v>
      </c>
      <c r="S726">
        <v>68</v>
      </c>
      <c r="T726">
        <v>101774</v>
      </c>
      <c r="U726">
        <v>13100</v>
      </c>
      <c r="V726">
        <v>14.4</v>
      </c>
      <c r="W726" t="s">
        <v>31</v>
      </c>
    </row>
    <row r="727" spans="1:23" x14ac:dyDescent="0.3">
      <c r="A727" t="s">
        <v>1378</v>
      </c>
      <c r="B727" t="s">
        <v>2171</v>
      </c>
      <c r="C727">
        <v>34</v>
      </c>
      <c r="D727" t="s">
        <v>33</v>
      </c>
      <c r="E727" t="s">
        <v>56</v>
      </c>
      <c r="F727" t="s">
        <v>62</v>
      </c>
      <c r="G727" t="s">
        <v>117</v>
      </c>
      <c r="H727" t="s">
        <v>198</v>
      </c>
      <c r="I727" t="s">
        <v>27</v>
      </c>
      <c r="J727" t="s">
        <v>1379</v>
      </c>
      <c r="K727">
        <v>2024</v>
      </c>
      <c r="L727">
        <v>0</v>
      </c>
      <c r="M727">
        <v>9</v>
      </c>
      <c r="N727" t="s">
        <v>85</v>
      </c>
      <c r="O727">
        <v>2</v>
      </c>
      <c r="P727">
        <v>1</v>
      </c>
      <c r="Q727" t="s">
        <v>30</v>
      </c>
      <c r="R727">
        <v>7</v>
      </c>
      <c r="S727">
        <v>68</v>
      </c>
      <c r="T727">
        <v>56312</v>
      </c>
      <c r="U727">
        <v>10300</v>
      </c>
      <c r="V727">
        <v>12.3</v>
      </c>
      <c r="W727" t="s">
        <v>31</v>
      </c>
    </row>
    <row r="728" spans="1:23" x14ac:dyDescent="0.3">
      <c r="A728" t="s">
        <v>1380</v>
      </c>
      <c r="B728" t="s">
        <v>2172</v>
      </c>
      <c r="C728">
        <v>36</v>
      </c>
      <c r="D728" t="s">
        <v>33</v>
      </c>
      <c r="E728" t="s">
        <v>56</v>
      </c>
      <c r="F728" t="s">
        <v>75</v>
      </c>
      <c r="G728" t="s">
        <v>25</v>
      </c>
      <c r="H728" t="s">
        <v>26</v>
      </c>
      <c r="I728" t="s">
        <v>27</v>
      </c>
      <c r="J728" t="s">
        <v>1381</v>
      </c>
      <c r="K728">
        <v>2022</v>
      </c>
      <c r="L728">
        <v>2</v>
      </c>
      <c r="M728">
        <v>6</v>
      </c>
      <c r="N728" t="s">
        <v>85</v>
      </c>
      <c r="O728">
        <v>1</v>
      </c>
      <c r="P728">
        <v>3</v>
      </c>
      <c r="Q728" t="s">
        <v>31</v>
      </c>
      <c r="R728">
        <v>16</v>
      </c>
      <c r="S728">
        <v>68</v>
      </c>
      <c r="T728">
        <v>107359</v>
      </c>
      <c r="U728">
        <v>25000</v>
      </c>
      <c r="V728">
        <v>9.1</v>
      </c>
      <c r="W728" t="s">
        <v>31</v>
      </c>
    </row>
    <row r="729" spans="1:23" x14ac:dyDescent="0.3">
      <c r="A729" t="s">
        <v>1382</v>
      </c>
      <c r="B729" t="s">
        <v>2048</v>
      </c>
      <c r="C729">
        <v>43</v>
      </c>
      <c r="D729" t="s">
        <v>41</v>
      </c>
      <c r="E729" t="s">
        <v>56</v>
      </c>
      <c r="F729" t="s">
        <v>51</v>
      </c>
      <c r="G729" t="s">
        <v>43</v>
      </c>
      <c r="H729" t="s">
        <v>72</v>
      </c>
      <c r="I729" t="s">
        <v>27</v>
      </c>
      <c r="J729" t="s">
        <v>1383</v>
      </c>
      <c r="K729">
        <v>2022</v>
      </c>
      <c r="L729">
        <v>2</v>
      </c>
      <c r="M729">
        <v>14</v>
      </c>
      <c r="N729" t="s">
        <v>85</v>
      </c>
      <c r="O729">
        <v>5</v>
      </c>
      <c r="P729">
        <v>1</v>
      </c>
      <c r="Q729" t="s">
        <v>30</v>
      </c>
      <c r="R729">
        <v>23</v>
      </c>
      <c r="S729">
        <v>41</v>
      </c>
      <c r="T729">
        <v>96909</v>
      </c>
      <c r="U729">
        <v>21600</v>
      </c>
      <c r="V729">
        <v>11.4</v>
      </c>
      <c r="W729" t="s">
        <v>30</v>
      </c>
    </row>
    <row r="730" spans="1:23" x14ac:dyDescent="0.3">
      <c r="A730" t="s">
        <v>1384</v>
      </c>
      <c r="B730" t="s">
        <v>1860</v>
      </c>
      <c r="C730">
        <v>23</v>
      </c>
      <c r="D730" t="s">
        <v>41</v>
      </c>
      <c r="E730" t="s">
        <v>61</v>
      </c>
      <c r="F730" t="s">
        <v>62</v>
      </c>
      <c r="G730" t="s">
        <v>36</v>
      </c>
      <c r="H730" t="s">
        <v>89</v>
      </c>
      <c r="I730" t="s">
        <v>27</v>
      </c>
      <c r="J730" t="s">
        <v>531</v>
      </c>
      <c r="K730">
        <v>2023</v>
      </c>
      <c r="L730">
        <v>1</v>
      </c>
      <c r="M730">
        <v>1</v>
      </c>
      <c r="N730" t="s">
        <v>85</v>
      </c>
      <c r="O730">
        <v>2</v>
      </c>
      <c r="P730">
        <v>4</v>
      </c>
      <c r="Q730" t="s">
        <v>31</v>
      </c>
      <c r="R730">
        <v>3</v>
      </c>
      <c r="S730">
        <v>56</v>
      </c>
      <c r="T730">
        <v>90277</v>
      </c>
      <c r="U730">
        <v>20300</v>
      </c>
      <c r="V730">
        <v>3.4</v>
      </c>
      <c r="W730" t="s">
        <v>31</v>
      </c>
    </row>
    <row r="731" spans="1:23" x14ac:dyDescent="0.3">
      <c r="A731" t="s">
        <v>1385</v>
      </c>
      <c r="B731" t="s">
        <v>1813</v>
      </c>
      <c r="C731">
        <v>39</v>
      </c>
      <c r="D731" t="s">
        <v>41</v>
      </c>
      <c r="E731" t="s">
        <v>34</v>
      </c>
      <c r="F731" t="s">
        <v>42</v>
      </c>
      <c r="G731" t="s">
        <v>52</v>
      </c>
      <c r="H731" t="s">
        <v>208</v>
      </c>
      <c r="I731" t="s">
        <v>79</v>
      </c>
      <c r="J731" t="s">
        <v>158</v>
      </c>
      <c r="K731">
        <v>2021</v>
      </c>
      <c r="L731">
        <v>3</v>
      </c>
      <c r="M731">
        <v>12</v>
      </c>
      <c r="N731" t="s">
        <v>98</v>
      </c>
      <c r="O731">
        <v>5</v>
      </c>
      <c r="P731">
        <v>5</v>
      </c>
      <c r="Q731" t="s">
        <v>30</v>
      </c>
      <c r="R731">
        <v>17</v>
      </c>
      <c r="S731">
        <v>61</v>
      </c>
      <c r="T731">
        <v>52546</v>
      </c>
      <c r="U731">
        <v>3700</v>
      </c>
      <c r="V731">
        <v>6.5</v>
      </c>
      <c r="W731" t="s">
        <v>31</v>
      </c>
    </row>
    <row r="732" spans="1:23" x14ac:dyDescent="0.3">
      <c r="A732" t="s">
        <v>1386</v>
      </c>
      <c r="B732" t="s">
        <v>1982</v>
      </c>
      <c r="C732">
        <v>40</v>
      </c>
      <c r="D732" t="s">
        <v>41</v>
      </c>
      <c r="E732" t="s">
        <v>71</v>
      </c>
      <c r="F732" t="s">
        <v>137</v>
      </c>
      <c r="G732" t="s">
        <v>82</v>
      </c>
      <c r="H732" t="s">
        <v>138</v>
      </c>
      <c r="I732" t="s">
        <v>27</v>
      </c>
      <c r="J732" t="s">
        <v>1387</v>
      </c>
      <c r="K732">
        <v>2021</v>
      </c>
      <c r="L732">
        <v>3</v>
      </c>
      <c r="M732">
        <v>10</v>
      </c>
      <c r="N732" t="s">
        <v>29</v>
      </c>
      <c r="O732">
        <v>3</v>
      </c>
      <c r="P732">
        <v>2</v>
      </c>
      <c r="Q732" t="s">
        <v>30</v>
      </c>
      <c r="R732">
        <v>12</v>
      </c>
      <c r="S732">
        <v>44</v>
      </c>
      <c r="T732">
        <v>47782</v>
      </c>
      <c r="U732">
        <v>5700</v>
      </c>
      <c r="V732">
        <v>9.1</v>
      </c>
      <c r="W732" t="s">
        <v>31</v>
      </c>
    </row>
    <row r="733" spans="1:23" x14ac:dyDescent="0.3">
      <c r="A733" t="s">
        <v>1388</v>
      </c>
      <c r="B733" t="s">
        <v>1941</v>
      </c>
      <c r="C733">
        <v>41</v>
      </c>
      <c r="D733" t="s">
        <v>41</v>
      </c>
      <c r="E733" t="s">
        <v>71</v>
      </c>
      <c r="F733" t="s">
        <v>137</v>
      </c>
      <c r="G733" t="s">
        <v>25</v>
      </c>
      <c r="H733" t="s">
        <v>58</v>
      </c>
      <c r="I733" t="s">
        <v>27</v>
      </c>
      <c r="J733" t="s">
        <v>1389</v>
      </c>
      <c r="K733">
        <v>2023</v>
      </c>
      <c r="L733">
        <v>1</v>
      </c>
      <c r="M733">
        <v>13</v>
      </c>
      <c r="N733" t="s">
        <v>29</v>
      </c>
      <c r="O733">
        <v>2</v>
      </c>
      <c r="P733">
        <v>5</v>
      </c>
      <c r="Q733" t="s">
        <v>31</v>
      </c>
      <c r="R733">
        <v>12</v>
      </c>
      <c r="S733">
        <v>5</v>
      </c>
      <c r="T733">
        <v>70453</v>
      </c>
      <c r="U733">
        <v>9500</v>
      </c>
      <c r="V733">
        <v>9.1</v>
      </c>
      <c r="W733" t="s">
        <v>31</v>
      </c>
    </row>
    <row r="734" spans="1:23" x14ac:dyDescent="0.3">
      <c r="A734" t="s">
        <v>1390</v>
      </c>
      <c r="B734" t="s">
        <v>1815</v>
      </c>
      <c r="C734">
        <v>50</v>
      </c>
      <c r="D734" t="s">
        <v>33</v>
      </c>
      <c r="E734" t="s">
        <v>71</v>
      </c>
      <c r="F734" t="s">
        <v>42</v>
      </c>
      <c r="G734" t="s">
        <v>63</v>
      </c>
      <c r="H734" t="s">
        <v>310</v>
      </c>
      <c r="I734" t="s">
        <v>27</v>
      </c>
      <c r="J734" t="s">
        <v>1391</v>
      </c>
      <c r="K734">
        <v>2022</v>
      </c>
      <c r="L734">
        <v>2</v>
      </c>
      <c r="M734">
        <v>20</v>
      </c>
      <c r="N734" t="s">
        <v>98</v>
      </c>
      <c r="O734">
        <v>1</v>
      </c>
      <c r="P734">
        <v>1</v>
      </c>
      <c r="Q734" t="s">
        <v>31</v>
      </c>
      <c r="R734">
        <v>8</v>
      </c>
      <c r="S734">
        <v>6</v>
      </c>
      <c r="T734">
        <v>46635</v>
      </c>
      <c r="U734">
        <v>2600</v>
      </c>
      <c r="V734">
        <v>10.5</v>
      </c>
      <c r="W734" t="s">
        <v>31</v>
      </c>
    </row>
    <row r="735" spans="1:23" x14ac:dyDescent="0.3">
      <c r="A735" t="s">
        <v>1392</v>
      </c>
      <c r="B735" t="s">
        <v>2103</v>
      </c>
      <c r="C735">
        <v>27</v>
      </c>
      <c r="D735" t="s">
        <v>33</v>
      </c>
      <c r="E735" t="s">
        <v>71</v>
      </c>
      <c r="F735" t="s">
        <v>75</v>
      </c>
      <c r="G735" t="s">
        <v>36</v>
      </c>
      <c r="H735" t="s">
        <v>76</v>
      </c>
      <c r="I735" t="s">
        <v>27</v>
      </c>
      <c r="J735" t="s">
        <v>1393</v>
      </c>
      <c r="K735">
        <v>2021</v>
      </c>
      <c r="L735">
        <v>3</v>
      </c>
      <c r="M735">
        <v>1</v>
      </c>
      <c r="N735" t="s">
        <v>39</v>
      </c>
      <c r="O735">
        <v>2</v>
      </c>
      <c r="P735">
        <v>5</v>
      </c>
      <c r="Q735" t="s">
        <v>30</v>
      </c>
      <c r="R735">
        <v>20</v>
      </c>
      <c r="S735">
        <v>8</v>
      </c>
      <c r="T735">
        <v>61951</v>
      </c>
      <c r="U735">
        <v>2000</v>
      </c>
      <c r="V735">
        <v>9.6</v>
      </c>
      <c r="W735" t="s">
        <v>31</v>
      </c>
    </row>
    <row r="736" spans="1:23" x14ac:dyDescent="0.3">
      <c r="A736" t="s">
        <v>1394</v>
      </c>
      <c r="B736" t="s">
        <v>2173</v>
      </c>
      <c r="C736">
        <v>39</v>
      </c>
      <c r="D736" t="s">
        <v>41</v>
      </c>
      <c r="E736" t="s">
        <v>71</v>
      </c>
      <c r="F736" t="s">
        <v>75</v>
      </c>
      <c r="G736" t="s">
        <v>100</v>
      </c>
      <c r="H736" t="s">
        <v>129</v>
      </c>
      <c r="I736" t="s">
        <v>79</v>
      </c>
      <c r="J736" t="s">
        <v>1395</v>
      </c>
      <c r="K736">
        <v>2021</v>
      </c>
      <c r="L736">
        <v>3</v>
      </c>
      <c r="M736">
        <v>13</v>
      </c>
      <c r="N736" t="s">
        <v>29</v>
      </c>
      <c r="O736">
        <v>2</v>
      </c>
      <c r="P736">
        <v>3</v>
      </c>
      <c r="Q736" t="s">
        <v>30</v>
      </c>
      <c r="R736">
        <v>23</v>
      </c>
      <c r="S736">
        <v>67</v>
      </c>
      <c r="T736">
        <v>74191</v>
      </c>
      <c r="U736">
        <v>9500</v>
      </c>
      <c r="V736">
        <v>11.8</v>
      </c>
      <c r="W736" t="s">
        <v>31</v>
      </c>
    </row>
    <row r="737" spans="1:23" x14ac:dyDescent="0.3">
      <c r="A737" t="s">
        <v>1396</v>
      </c>
      <c r="B737" t="s">
        <v>1811</v>
      </c>
      <c r="C737">
        <v>30</v>
      </c>
      <c r="D737" t="s">
        <v>41</v>
      </c>
      <c r="E737" t="s">
        <v>34</v>
      </c>
      <c r="F737" t="s">
        <v>137</v>
      </c>
      <c r="G737" t="s">
        <v>25</v>
      </c>
      <c r="H737" t="s">
        <v>110</v>
      </c>
      <c r="I737" t="s">
        <v>27</v>
      </c>
      <c r="J737" t="s">
        <v>1397</v>
      </c>
      <c r="K737">
        <v>2023</v>
      </c>
      <c r="L737">
        <v>1</v>
      </c>
      <c r="M737">
        <v>2</v>
      </c>
      <c r="N737" t="s">
        <v>29</v>
      </c>
      <c r="O737">
        <v>2</v>
      </c>
      <c r="P737">
        <v>3</v>
      </c>
      <c r="Q737" t="s">
        <v>31</v>
      </c>
      <c r="R737">
        <v>10</v>
      </c>
      <c r="S737">
        <v>69</v>
      </c>
      <c r="T737">
        <v>96394</v>
      </c>
      <c r="U737">
        <v>10900</v>
      </c>
      <c r="V737">
        <v>12</v>
      </c>
      <c r="W737" t="s">
        <v>31</v>
      </c>
    </row>
    <row r="738" spans="1:23" x14ac:dyDescent="0.3">
      <c r="A738" t="s">
        <v>1398</v>
      </c>
      <c r="B738" t="s">
        <v>2111</v>
      </c>
      <c r="C738">
        <v>44</v>
      </c>
      <c r="D738" t="s">
        <v>41</v>
      </c>
      <c r="E738" t="s">
        <v>34</v>
      </c>
      <c r="F738" t="s">
        <v>137</v>
      </c>
      <c r="G738" t="s">
        <v>82</v>
      </c>
      <c r="H738" t="s">
        <v>83</v>
      </c>
      <c r="I738" t="s">
        <v>27</v>
      </c>
      <c r="J738" t="s">
        <v>73</v>
      </c>
      <c r="K738">
        <v>2021</v>
      </c>
      <c r="L738">
        <v>3</v>
      </c>
      <c r="M738">
        <v>16</v>
      </c>
      <c r="N738" t="s">
        <v>98</v>
      </c>
      <c r="O738">
        <v>1</v>
      </c>
      <c r="P738">
        <v>3</v>
      </c>
      <c r="Q738" t="s">
        <v>31</v>
      </c>
      <c r="R738">
        <v>7</v>
      </c>
      <c r="S738">
        <v>71</v>
      </c>
      <c r="T738">
        <v>63336</v>
      </c>
      <c r="U738">
        <v>4500</v>
      </c>
      <c r="V738">
        <v>14.5</v>
      </c>
      <c r="W738" t="s">
        <v>31</v>
      </c>
    </row>
    <row r="739" spans="1:23" x14ac:dyDescent="0.3">
      <c r="A739" t="s">
        <v>1399</v>
      </c>
      <c r="B739" t="s">
        <v>2154</v>
      </c>
      <c r="C739">
        <v>29</v>
      </c>
      <c r="D739" t="s">
        <v>33</v>
      </c>
      <c r="E739" t="s">
        <v>34</v>
      </c>
      <c r="F739" t="s">
        <v>24</v>
      </c>
      <c r="G739" t="s">
        <v>36</v>
      </c>
      <c r="H739" t="s">
        <v>37</v>
      </c>
      <c r="I739" t="s">
        <v>27</v>
      </c>
      <c r="J739" t="s">
        <v>1400</v>
      </c>
      <c r="K739">
        <v>2022</v>
      </c>
      <c r="L739">
        <v>2</v>
      </c>
      <c r="M739">
        <v>2</v>
      </c>
      <c r="N739" t="s">
        <v>29</v>
      </c>
      <c r="O739">
        <v>5</v>
      </c>
      <c r="P739">
        <v>3</v>
      </c>
      <c r="Q739" t="s">
        <v>30</v>
      </c>
      <c r="R739">
        <v>18</v>
      </c>
      <c r="S739">
        <v>40</v>
      </c>
      <c r="T739">
        <v>90011</v>
      </c>
      <c r="U739">
        <v>12900</v>
      </c>
      <c r="V739">
        <v>6.5</v>
      </c>
      <c r="W739" t="s">
        <v>31</v>
      </c>
    </row>
    <row r="740" spans="1:23" x14ac:dyDescent="0.3">
      <c r="A740" t="s">
        <v>1401</v>
      </c>
      <c r="B740" t="s">
        <v>2174</v>
      </c>
      <c r="C740">
        <v>33</v>
      </c>
      <c r="D740" t="s">
        <v>41</v>
      </c>
      <c r="E740" t="s">
        <v>71</v>
      </c>
      <c r="F740" t="s">
        <v>75</v>
      </c>
      <c r="G740" t="s">
        <v>43</v>
      </c>
      <c r="H740" t="s">
        <v>72</v>
      </c>
      <c r="I740" t="s">
        <v>27</v>
      </c>
      <c r="J740" t="s">
        <v>908</v>
      </c>
      <c r="K740">
        <v>2022</v>
      </c>
      <c r="L740">
        <v>2</v>
      </c>
      <c r="M740">
        <v>4</v>
      </c>
      <c r="N740" t="s">
        <v>29</v>
      </c>
      <c r="O740">
        <v>2</v>
      </c>
      <c r="P740">
        <v>4</v>
      </c>
      <c r="Q740" t="s">
        <v>31</v>
      </c>
      <c r="R740">
        <v>20</v>
      </c>
      <c r="S740">
        <v>41</v>
      </c>
      <c r="T740">
        <v>86223</v>
      </c>
      <c r="U740">
        <v>10800</v>
      </c>
      <c r="V740">
        <v>5.4</v>
      </c>
      <c r="W740" t="s">
        <v>31</v>
      </c>
    </row>
    <row r="741" spans="1:23" x14ac:dyDescent="0.3">
      <c r="A741" t="s">
        <v>1402</v>
      </c>
      <c r="B741" t="s">
        <v>2017</v>
      </c>
      <c r="C741">
        <v>33</v>
      </c>
      <c r="D741" t="s">
        <v>41</v>
      </c>
      <c r="E741" t="s">
        <v>71</v>
      </c>
      <c r="F741" t="s">
        <v>42</v>
      </c>
      <c r="G741" t="s">
        <v>43</v>
      </c>
      <c r="H741" t="s">
        <v>44</v>
      </c>
      <c r="I741" t="s">
        <v>79</v>
      </c>
      <c r="J741" t="s">
        <v>1403</v>
      </c>
      <c r="K741">
        <v>2021</v>
      </c>
      <c r="L741">
        <v>3</v>
      </c>
      <c r="M741">
        <v>3</v>
      </c>
      <c r="N741" t="s">
        <v>39</v>
      </c>
      <c r="O741">
        <v>1</v>
      </c>
      <c r="P741">
        <v>2</v>
      </c>
      <c r="Q741" t="s">
        <v>31</v>
      </c>
      <c r="R741">
        <v>6</v>
      </c>
      <c r="S741">
        <v>3</v>
      </c>
      <c r="T741">
        <v>112918</v>
      </c>
      <c r="U741">
        <v>2800</v>
      </c>
      <c r="V741">
        <v>14.5</v>
      </c>
      <c r="W741" t="s">
        <v>31</v>
      </c>
    </row>
    <row r="742" spans="1:23" x14ac:dyDescent="0.3">
      <c r="A742" t="s">
        <v>1404</v>
      </c>
      <c r="B742" t="s">
        <v>2175</v>
      </c>
      <c r="C742">
        <v>35</v>
      </c>
      <c r="D742" t="s">
        <v>33</v>
      </c>
      <c r="E742" t="s">
        <v>56</v>
      </c>
      <c r="F742" t="s">
        <v>62</v>
      </c>
      <c r="G742" t="s">
        <v>25</v>
      </c>
      <c r="H742" t="s">
        <v>26</v>
      </c>
      <c r="I742" t="s">
        <v>27</v>
      </c>
      <c r="J742" t="s">
        <v>922</v>
      </c>
      <c r="K742">
        <v>2024</v>
      </c>
      <c r="L742">
        <v>0</v>
      </c>
      <c r="M742">
        <v>5</v>
      </c>
      <c r="N742" t="s">
        <v>98</v>
      </c>
      <c r="O742">
        <v>4</v>
      </c>
      <c r="P742">
        <v>1</v>
      </c>
      <c r="Q742" t="s">
        <v>31</v>
      </c>
      <c r="R742">
        <v>19</v>
      </c>
      <c r="S742">
        <v>27</v>
      </c>
      <c r="T742">
        <v>71016</v>
      </c>
      <c r="U742">
        <v>4600</v>
      </c>
      <c r="V742">
        <v>10.6</v>
      </c>
      <c r="W742" t="s">
        <v>31</v>
      </c>
    </row>
    <row r="743" spans="1:23" x14ac:dyDescent="0.3">
      <c r="A743" t="s">
        <v>1405</v>
      </c>
      <c r="B743" t="s">
        <v>1832</v>
      </c>
      <c r="C743">
        <v>33</v>
      </c>
      <c r="D743" t="s">
        <v>41</v>
      </c>
      <c r="E743" t="s">
        <v>61</v>
      </c>
      <c r="F743" t="s">
        <v>153</v>
      </c>
      <c r="G743" t="s">
        <v>63</v>
      </c>
      <c r="H743" t="s">
        <v>225</v>
      </c>
      <c r="I743" t="s">
        <v>27</v>
      </c>
      <c r="J743" t="s">
        <v>1406</v>
      </c>
      <c r="K743">
        <v>2022</v>
      </c>
      <c r="L743">
        <v>2</v>
      </c>
      <c r="M743">
        <v>10</v>
      </c>
      <c r="N743" t="s">
        <v>29</v>
      </c>
      <c r="O743">
        <v>3</v>
      </c>
      <c r="P743">
        <v>1</v>
      </c>
      <c r="Q743" t="s">
        <v>30</v>
      </c>
      <c r="R743">
        <v>18</v>
      </c>
      <c r="S743">
        <v>17</v>
      </c>
      <c r="T743">
        <v>63535</v>
      </c>
      <c r="U743">
        <v>8500</v>
      </c>
      <c r="V743">
        <v>6.4</v>
      </c>
      <c r="W743" t="s">
        <v>31</v>
      </c>
    </row>
    <row r="744" spans="1:23" x14ac:dyDescent="0.3">
      <c r="A744" t="s">
        <v>1407</v>
      </c>
      <c r="B744" t="s">
        <v>2020</v>
      </c>
      <c r="C744">
        <v>50</v>
      </c>
      <c r="D744" t="s">
        <v>41</v>
      </c>
      <c r="E744" t="s">
        <v>34</v>
      </c>
      <c r="F744" t="s">
        <v>47</v>
      </c>
      <c r="G744" t="s">
        <v>43</v>
      </c>
      <c r="H744" t="s">
        <v>48</v>
      </c>
      <c r="I744" t="s">
        <v>27</v>
      </c>
      <c r="J744" t="s">
        <v>1169</v>
      </c>
      <c r="K744">
        <v>2022</v>
      </c>
      <c r="L744">
        <v>2</v>
      </c>
      <c r="M744">
        <v>20</v>
      </c>
      <c r="N744" t="s">
        <v>29</v>
      </c>
      <c r="O744">
        <v>5</v>
      </c>
      <c r="P744">
        <v>4</v>
      </c>
      <c r="Q744" t="s">
        <v>31</v>
      </c>
      <c r="R744">
        <v>23</v>
      </c>
      <c r="S744">
        <v>5</v>
      </c>
      <c r="T744">
        <v>101475</v>
      </c>
      <c r="U744">
        <v>11400</v>
      </c>
      <c r="V744">
        <v>8</v>
      </c>
      <c r="W744" t="s">
        <v>30</v>
      </c>
    </row>
    <row r="745" spans="1:23" x14ac:dyDescent="0.3">
      <c r="A745" t="s">
        <v>1408</v>
      </c>
      <c r="B745" t="s">
        <v>2176</v>
      </c>
      <c r="C745">
        <v>41</v>
      </c>
      <c r="D745" t="s">
        <v>33</v>
      </c>
      <c r="E745" t="s">
        <v>34</v>
      </c>
      <c r="F745" t="s">
        <v>137</v>
      </c>
      <c r="G745" t="s">
        <v>25</v>
      </c>
      <c r="H745" t="s">
        <v>58</v>
      </c>
      <c r="I745" t="s">
        <v>65</v>
      </c>
      <c r="J745" t="s">
        <v>1409</v>
      </c>
      <c r="K745">
        <v>2023</v>
      </c>
      <c r="L745">
        <v>1</v>
      </c>
      <c r="M745">
        <v>13</v>
      </c>
      <c r="N745" t="s">
        <v>98</v>
      </c>
      <c r="O745">
        <v>2</v>
      </c>
      <c r="P745">
        <v>1</v>
      </c>
      <c r="Q745" t="s">
        <v>31</v>
      </c>
      <c r="R745">
        <v>16</v>
      </c>
      <c r="S745">
        <v>26</v>
      </c>
      <c r="T745">
        <v>106821</v>
      </c>
      <c r="U745">
        <v>7500</v>
      </c>
      <c r="V745">
        <v>4.2</v>
      </c>
      <c r="W745" t="s">
        <v>31</v>
      </c>
    </row>
    <row r="746" spans="1:23" x14ac:dyDescent="0.3">
      <c r="A746" t="s">
        <v>1410</v>
      </c>
      <c r="B746" t="s">
        <v>1989</v>
      </c>
      <c r="C746">
        <v>34</v>
      </c>
      <c r="D746" t="s">
        <v>41</v>
      </c>
      <c r="E746" t="s">
        <v>34</v>
      </c>
      <c r="F746" t="s">
        <v>153</v>
      </c>
      <c r="G746" t="s">
        <v>43</v>
      </c>
      <c r="H746" t="s">
        <v>96</v>
      </c>
      <c r="I746" t="s">
        <v>27</v>
      </c>
      <c r="J746" t="s">
        <v>1411</v>
      </c>
      <c r="K746">
        <v>2021</v>
      </c>
      <c r="L746">
        <v>3</v>
      </c>
      <c r="M746">
        <v>5</v>
      </c>
      <c r="N746" t="s">
        <v>85</v>
      </c>
      <c r="O746">
        <v>2</v>
      </c>
      <c r="P746">
        <v>4</v>
      </c>
      <c r="Q746" t="s">
        <v>31</v>
      </c>
      <c r="R746">
        <v>18</v>
      </c>
      <c r="S746">
        <v>13</v>
      </c>
      <c r="T746">
        <v>97899</v>
      </c>
      <c r="U746">
        <v>17000</v>
      </c>
      <c r="V746">
        <v>5.6</v>
      </c>
      <c r="W746" t="s">
        <v>31</v>
      </c>
    </row>
    <row r="747" spans="1:23" x14ac:dyDescent="0.3">
      <c r="A747" t="s">
        <v>1412</v>
      </c>
      <c r="B747" t="s">
        <v>1971</v>
      </c>
      <c r="C747">
        <v>43</v>
      </c>
      <c r="D747" t="s">
        <v>33</v>
      </c>
      <c r="E747" t="s">
        <v>34</v>
      </c>
      <c r="F747" t="s">
        <v>75</v>
      </c>
      <c r="G747" t="s">
        <v>117</v>
      </c>
      <c r="H747" t="s">
        <v>118</v>
      </c>
      <c r="I747" t="s">
        <v>27</v>
      </c>
      <c r="J747" t="s">
        <v>650</v>
      </c>
      <c r="K747">
        <v>2022</v>
      </c>
      <c r="L747">
        <v>2</v>
      </c>
      <c r="M747">
        <v>17</v>
      </c>
      <c r="N747" t="s">
        <v>85</v>
      </c>
      <c r="O747">
        <v>2</v>
      </c>
      <c r="P747">
        <v>4</v>
      </c>
      <c r="Q747" t="s">
        <v>31</v>
      </c>
      <c r="R747">
        <v>21</v>
      </c>
      <c r="S747">
        <v>70</v>
      </c>
      <c r="T747">
        <v>57643</v>
      </c>
      <c r="U747">
        <v>10600</v>
      </c>
      <c r="V747">
        <v>9.6999999999999993</v>
      </c>
      <c r="W747" t="s">
        <v>31</v>
      </c>
    </row>
    <row r="748" spans="1:23" x14ac:dyDescent="0.3">
      <c r="A748" t="s">
        <v>1413</v>
      </c>
      <c r="B748" t="s">
        <v>2177</v>
      </c>
      <c r="C748">
        <v>26</v>
      </c>
      <c r="D748" t="s">
        <v>41</v>
      </c>
      <c r="E748" t="s">
        <v>34</v>
      </c>
      <c r="F748" t="s">
        <v>62</v>
      </c>
      <c r="G748" t="s">
        <v>52</v>
      </c>
      <c r="H748" t="s">
        <v>53</v>
      </c>
      <c r="I748" t="s">
        <v>27</v>
      </c>
      <c r="J748" t="s">
        <v>1414</v>
      </c>
      <c r="K748">
        <v>2023</v>
      </c>
      <c r="L748">
        <v>1</v>
      </c>
      <c r="M748">
        <v>4</v>
      </c>
      <c r="N748" t="s">
        <v>29</v>
      </c>
      <c r="O748">
        <v>1</v>
      </c>
      <c r="P748">
        <v>3</v>
      </c>
      <c r="Q748" t="s">
        <v>31</v>
      </c>
      <c r="R748">
        <v>9</v>
      </c>
      <c r="S748">
        <v>73</v>
      </c>
      <c r="T748">
        <v>69285</v>
      </c>
      <c r="U748">
        <v>9000</v>
      </c>
      <c r="V748">
        <v>10.3</v>
      </c>
      <c r="W748" t="s">
        <v>30</v>
      </c>
    </row>
    <row r="749" spans="1:23" x14ac:dyDescent="0.3">
      <c r="A749" t="s">
        <v>1415</v>
      </c>
      <c r="B749" t="s">
        <v>2178</v>
      </c>
      <c r="C749">
        <v>34</v>
      </c>
      <c r="D749" t="s">
        <v>33</v>
      </c>
      <c r="E749" t="s">
        <v>61</v>
      </c>
      <c r="F749" t="s">
        <v>47</v>
      </c>
      <c r="G749" t="s">
        <v>100</v>
      </c>
      <c r="H749" t="s">
        <v>145</v>
      </c>
      <c r="I749" t="s">
        <v>79</v>
      </c>
      <c r="J749" t="s">
        <v>1416</v>
      </c>
      <c r="K749">
        <v>2023</v>
      </c>
      <c r="L749">
        <v>1</v>
      </c>
      <c r="M749">
        <v>6</v>
      </c>
      <c r="N749" t="s">
        <v>29</v>
      </c>
      <c r="O749">
        <v>5</v>
      </c>
      <c r="P749">
        <v>5</v>
      </c>
      <c r="Q749" t="s">
        <v>31</v>
      </c>
      <c r="R749">
        <v>23</v>
      </c>
      <c r="S749">
        <v>58</v>
      </c>
      <c r="T749">
        <v>77538</v>
      </c>
      <c r="U749">
        <v>9800</v>
      </c>
      <c r="V749">
        <v>12.2</v>
      </c>
      <c r="W749" t="s">
        <v>31</v>
      </c>
    </row>
    <row r="750" spans="1:23" x14ac:dyDescent="0.3">
      <c r="A750" t="s">
        <v>1417</v>
      </c>
      <c r="B750" t="s">
        <v>2179</v>
      </c>
      <c r="C750">
        <v>44</v>
      </c>
      <c r="D750" t="s">
        <v>33</v>
      </c>
      <c r="E750" t="s">
        <v>34</v>
      </c>
      <c r="F750" t="s">
        <v>75</v>
      </c>
      <c r="G750" t="s">
        <v>82</v>
      </c>
      <c r="H750" t="s">
        <v>286</v>
      </c>
      <c r="I750" t="s">
        <v>65</v>
      </c>
      <c r="J750" t="s">
        <v>230</v>
      </c>
      <c r="K750">
        <v>2023</v>
      </c>
      <c r="L750">
        <v>1</v>
      </c>
      <c r="M750">
        <v>19</v>
      </c>
      <c r="N750" t="s">
        <v>85</v>
      </c>
      <c r="O750">
        <v>2</v>
      </c>
      <c r="P750">
        <v>1</v>
      </c>
      <c r="Q750" t="s">
        <v>31</v>
      </c>
      <c r="R750">
        <v>5</v>
      </c>
      <c r="S750">
        <v>28</v>
      </c>
      <c r="T750">
        <v>82050</v>
      </c>
      <c r="U750">
        <v>13300</v>
      </c>
      <c r="V750">
        <v>9</v>
      </c>
      <c r="W750" t="s">
        <v>31</v>
      </c>
    </row>
    <row r="751" spans="1:23" x14ac:dyDescent="0.3">
      <c r="A751" t="s">
        <v>1418</v>
      </c>
      <c r="B751" t="s">
        <v>2087</v>
      </c>
      <c r="C751">
        <v>30</v>
      </c>
      <c r="D751" t="s">
        <v>33</v>
      </c>
      <c r="E751" t="s">
        <v>71</v>
      </c>
      <c r="F751" t="s">
        <v>137</v>
      </c>
      <c r="G751" t="s">
        <v>43</v>
      </c>
      <c r="H751" t="s">
        <v>96</v>
      </c>
      <c r="I751" t="s">
        <v>27</v>
      </c>
      <c r="J751" t="s">
        <v>1419</v>
      </c>
      <c r="K751">
        <v>2024</v>
      </c>
      <c r="L751">
        <v>0</v>
      </c>
      <c r="M751">
        <v>2</v>
      </c>
      <c r="N751" t="s">
        <v>39</v>
      </c>
      <c r="O751">
        <v>2</v>
      </c>
      <c r="P751">
        <v>2</v>
      </c>
      <c r="Q751" t="s">
        <v>31</v>
      </c>
      <c r="R751">
        <v>9</v>
      </c>
      <c r="S751">
        <v>71</v>
      </c>
      <c r="T751">
        <v>73009</v>
      </c>
      <c r="U751">
        <v>2200</v>
      </c>
      <c r="V751">
        <v>7.8</v>
      </c>
      <c r="W751" t="s">
        <v>30</v>
      </c>
    </row>
    <row r="752" spans="1:23" x14ac:dyDescent="0.3">
      <c r="A752" t="s">
        <v>1420</v>
      </c>
      <c r="B752" t="s">
        <v>1814</v>
      </c>
      <c r="C752">
        <v>41</v>
      </c>
      <c r="D752" t="s">
        <v>41</v>
      </c>
      <c r="E752" t="s">
        <v>71</v>
      </c>
      <c r="F752" t="s">
        <v>57</v>
      </c>
      <c r="G752" t="s">
        <v>43</v>
      </c>
      <c r="H752" t="s">
        <v>44</v>
      </c>
      <c r="I752" t="s">
        <v>65</v>
      </c>
      <c r="J752" t="s">
        <v>1421</v>
      </c>
      <c r="K752">
        <v>2023</v>
      </c>
      <c r="L752">
        <v>1</v>
      </c>
      <c r="M752">
        <v>17</v>
      </c>
      <c r="N752" t="s">
        <v>98</v>
      </c>
      <c r="O752">
        <v>5</v>
      </c>
      <c r="P752">
        <v>5</v>
      </c>
      <c r="Q752" t="s">
        <v>31</v>
      </c>
      <c r="R752">
        <v>13</v>
      </c>
      <c r="S752">
        <v>43</v>
      </c>
      <c r="T752">
        <v>72293</v>
      </c>
      <c r="U752">
        <v>6000</v>
      </c>
      <c r="V752">
        <v>12.9</v>
      </c>
      <c r="W752" t="s">
        <v>31</v>
      </c>
    </row>
    <row r="753" spans="1:23" x14ac:dyDescent="0.3">
      <c r="A753" t="s">
        <v>1422</v>
      </c>
      <c r="B753" t="s">
        <v>1871</v>
      </c>
      <c r="C753">
        <v>42</v>
      </c>
      <c r="D753" t="s">
        <v>33</v>
      </c>
      <c r="E753" t="s">
        <v>71</v>
      </c>
      <c r="F753" t="s">
        <v>57</v>
      </c>
      <c r="G753" t="s">
        <v>117</v>
      </c>
      <c r="H753" t="s">
        <v>298</v>
      </c>
      <c r="I753" t="s">
        <v>65</v>
      </c>
      <c r="J753" t="s">
        <v>421</v>
      </c>
      <c r="K753">
        <v>2022</v>
      </c>
      <c r="L753">
        <v>2</v>
      </c>
      <c r="M753">
        <v>12</v>
      </c>
      <c r="N753" t="s">
        <v>98</v>
      </c>
      <c r="O753">
        <v>2</v>
      </c>
      <c r="P753">
        <v>1</v>
      </c>
      <c r="Q753" t="s">
        <v>31</v>
      </c>
      <c r="R753">
        <v>17</v>
      </c>
      <c r="S753">
        <v>61</v>
      </c>
      <c r="T753">
        <v>83452</v>
      </c>
      <c r="U753">
        <v>4900</v>
      </c>
      <c r="V753">
        <v>9.6</v>
      </c>
      <c r="W753" t="s">
        <v>31</v>
      </c>
    </row>
    <row r="754" spans="1:23" x14ac:dyDescent="0.3">
      <c r="A754" t="s">
        <v>1423</v>
      </c>
      <c r="B754" t="s">
        <v>1920</v>
      </c>
      <c r="C754">
        <v>44</v>
      </c>
      <c r="D754" t="s">
        <v>41</v>
      </c>
      <c r="E754" t="s">
        <v>71</v>
      </c>
      <c r="F754" t="s">
        <v>47</v>
      </c>
      <c r="G754" t="s">
        <v>43</v>
      </c>
      <c r="H754" t="s">
        <v>48</v>
      </c>
      <c r="I754" t="s">
        <v>79</v>
      </c>
      <c r="J754" t="s">
        <v>1304</v>
      </c>
      <c r="K754">
        <v>2022</v>
      </c>
      <c r="L754">
        <v>2</v>
      </c>
      <c r="M754">
        <v>17</v>
      </c>
      <c r="N754" t="s">
        <v>29</v>
      </c>
      <c r="O754">
        <v>3</v>
      </c>
      <c r="P754">
        <v>1</v>
      </c>
      <c r="Q754" t="s">
        <v>30</v>
      </c>
      <c r="R754">
        <v>0</v>
      </c>
      <c r="S754">
        <v>21</v>
      </c>
      <c r="T754">
        <v>85753</v>
      </c>
      <c r="U754">
        <v>9000</v>
      </c>
      <c r="V754">
        <v>6.2</v>
      </c>
      <c r="W754" t="s">
        <v>31</v>
      </c>
    </row>
    <row r="755" spans="1:23" x14ac:dyDescent="0.3">
      <c r="A755" t="s">
        <v>1424</v>
      </c>
      <c r="B755" t="s">
        <v>2096</v>
      </c>
      <c r="C755">
        <v>36</v>
      </c>
      <c r="D755" t="s">
        <v>33</v>
      </c>
      <c r="E755" t="s">
        <v>23</v>
      </c>
      <c r="F755" t="s">
        <v>62</v>
      </c>
      <c r="G755" t="s">
        <v>82</v>
      </c>
      <c r="H755" t="s">
        <v>323</v>
      </c>
      <c r="I755" t="s">
        <v>27</v>
      </c>
      <c r="J755" t="s">
        <v>1060</v>
      </c>
      <c r="K755">
        <v>2024</v>
      </c>
      <c r="L755">
        <v>0</v>
      </c>
      <c r="M755">
        <v>13</v>
      </c>
      <c r="N755" t="s">
        <v>98</v>
      </c>
      <c r="O755">
        <v>1</v>
      </c>
      <c r="P755">
        <v>1</v>
      </c>
      <c r="Q755" t="s">
        <v>31</v>
      </c>
      <c r="R755">
        <v>2</v>
      </c>
      <c r="S755">
        <v>48</v>
      </c>
      <c r="T755">
        <v>52653</v>
      </c>
      <c r="U755">
        <v>4100</v>
      </c>
      <c r="V755">
        <v>9</v>
      </c>
      <c r="W755" t="s">
        <v>30</v>
      </c>
    </row>
    <row r="756" spans="1:23" x14ac:dyDescent="0.3">
      <c r="A756" t="s">
        <v>1425</v>
      </c>
      <c r="B756" t="s">
        <v>1955</v>
      </c>
      <c r="C756">
        <v>30</v>
      </c>
      <c r="D756" t="s">
        <v>33</v>
      </c>
      <c r="E756" t="s">
        <v>34</v>
      </c>
      <c r="F756" t="s">
        <v>153</v>
      </c>
      <c r="G756" t="s">
        <v>117</v>
      </c>
      <c r="H756" t="s">
        <v>298</v>
      </c>
      <c r="I756" t="s">
        <v>27</v>
      </c>
      <c r="J756" t="s">
        <v>426</v>
      </c>
      <c r="K756">
        <v>2023</v>
      </c>
      <c r="L756">
        <v>1</v>
      </c>
      <c r="M756">
        <v>3</v>
      </c>
      <c r="N756" t="s">
        <v>98</v>
      </c>
      <c r="O756">
        <v>1</v>
      </c>
      <c r="P756">
        <v>3</v>
      </c>
      <c r="Q756" t="s">
        <v>31</v>
      </c>
      <c r="R756">
        <v>7</v>
      </c>
      <c r="S756">
        <v>35</v>
      </c>
      <c r="T756">
        <v>81724</v>
      </c>
      <c r="U756">
        <v>6600</v>
      </c>
      <c r="V756">
        <v>9.3000000000000007</v>
      </c>
      <c r="W756" t="s">
        <v>31</v>
      </c>
    </row>
    <row r="757" spans="1:23" x14ac:dyDescent="0.3">
      <c r="A757" t="s">
        <v>1426</v>
      </c>
      <c r="B757" t="s">
        <v>2099</v>
      </c>
      <c r="C757">
        <v>37</v>
      </c>
      <c r="D757" t="s">
        <v>41</v>
      </c>
      <c r="E757" t="s">
        <v>34</v>
      </c>
      <c r="F757" t="s">
        <v>35</v>
      </c>
      <c r="G757" t="s">
        <v>25</v>
      </c>
      <c r="H757" t="s">
        <v>58</v>
      </c>
      <c r="I757" t="s">
        <v>27</v>
      </c>
      <c r="J757" t="s">
        <v>792</v>
      </c>
      <c r="K757">
        <v>2024</v>
      </c>
      <c r="L757">
        <v>0</v>
      </c>
      <c r="M757">
        <v>13</v>
      </c>
      <c r="N757" t="s">
        <v>98</v>
      </c>
      <c r="O757">
        <v>5</v>
      </c>
      <c r="P757">
        <v>1</v>
      </c>
      <c r="Q757" t="s">
        <v>30</v>
      </c>
      <c r="R757">
        <v>23</v>
      </c>
      <c r="S757">
        <v>62</v>
      </c>
      <c r="T757">
        <v>84427</v>
      </c>
      <c r="U757">
        <v>6400</v>
      </c>
      <c r="V757">
        <v>12.2</v>
      </c>
      <c r="W757" t="s">
        <v>31</v>
      </c>
    </row>
    <row r="758" spans="1:23" x14ac:dyDescent="0.3">
      <c r="A758" t="s">
        <v>1427</v>
      </c>
      <c r="B758" t="s">
        <v>1948</v>
      </c>
      <c r="C758">
        <v>43</v>
      </c>
      <c r="D758" t="s">
        <v>33</v>
      </c>
      <c r="E758" t="s">
        <v>61</v>
      </c>
      <c r="F758" t="s">
        <v>75</v>
      </c>
      <c r="G758" t="s">
        <v>82</v>
      </c>
      <c r="H758" t="s">
        <v>323</v>
      </c>
      <c r="I758" t="s">
        <v>27</v>
      </c>
      <c r="J758" t="s">
        <v>1428</v>
      </c>
      <c r="K758">
        <v>2022</v>
      </c>
      <c r="L758">
        <v>2</v>
      </c>
      <c r="M758">
        <v>20</v>
      </c>
      <c r="N758" t="s">
        <v>85</v>
      </c>
      <c r="O758">
        <v>2</v>
      </c>
      <c r="P758">
        <v>1</v>
      </c>
      <c r="Q758" t="s">
        <v>31</v>
      </c>
      <c r="R758">
        <v>4</v>
      </c>
      <c r="S758">
        <v>40</v>
      </c>
      <c r="T758">
        <v>62271</v>
      </c>
      <c r="U758">
        <v>14600</v>
      </c>
      <c r="V758">
        <v>11.1</v>
      </c>
      <c r="W758" t="s">
        <v>31</v>
      </c>
    </row>
    <row r="759" spans="1:23" x14ac:dyDescent="0.3">
      <c r="A759" t="s">
        <v>1429</v>
      </c>
      <c r="B759" t="s">
        <v>2180</v>
      </c>
      <c r="C759">
        <v>45</v>
      </c>
      <c r="D759" t="s">
        <v>33</v>
      </c>
      <c r="E759" t="s">
        <v>56</v>
      </c>
      <c r="F759" t="s">
        <v>62</v>
      </c>
      <c r="G759" t="s">
        <v>43</v>
      </c>
      <c r="H759" t="s">
        <v>96</v>
      </c>
      <c r="I759" t="s">
        <v>27</v>
      </c>
      <c r="J759" t="s">
        <v>913</v>
      </c>
      <c r="K759">
        <v>2023</v>
      </c>
      <c r="L759">
        <v>1</v>
      </c>
      <c r="M759">
        <v>15</v>
      </c>
      <c r="N759" t="s">
        <v>85</v>
      </c>
      <c r="O759">
        <v>4</v>
      </c>
      <c r="P759">
        <v>1</v>
      </c>
      <c r="Q759" t="s">
        <v>30</v>
      </c>
      <c r="R759">
        <v>7</v>
      </c>
      <c r="S759">
        <v>54</v>
      </c>
      <c r="T759">
        <v>130850</v>
      </c>
      <c r="U759">
        <v>29800</v>
      </c>
      <c r="V759">
        <v>13.8</v>
      </c>
      <c r="W759" t="s">
        <v>31</v>
      </c>
    </row>
    <row r="760" spans="1:23" x14ac:dyDescent="0.3">
      <c r="A760" t="s">
        <v>1430</v>
      </c>
      <c r="B760" t="s">
        <v>2181</v>
      </c>
      <c r="C760">
        <v>45</v>
      </c>
      <c r="D760" t="s">
        <v>33</v>
      </c>
      <c r="E760" t="s">
        <v>34</v>
      </c>
      <c r="F760" t="s">
        <v>137</v>
      </c>
      <c r="G760" t="s">
        <v>36</v>
      </c>
      <c r="H760" t="s">
        <v>37</v>
      </c>
      <c r="I760" t="s">
        <v>27</v>
      </c>
      <c r="J760" t="s">
        <v>833</v>
      </c>
      <c r="K760">
        <v>2022</v>
      </c>
      <c r="L760">
        <v>2</v>
      </c>
      <c r="M760">
        <v>18</v>
      </c>
      <c r="N760" t="s">
        <v>29</v>
      </c>
      <c r="O760">
        <v>2</v>
      </c>
      <c r="P760">
        <v>5</v>
      </c>
      <c r="Q760" t="s">
        <v>30</v>
      </c>
      <c r="R760">
        <v>10</v>
      </c>
      <c r="S760">
        <v>6</v>
      </c>
      <c r="T760">
        <v>57477</v>
      </c>
      <c r="U760">
        <v>5700</v>
      </c>
      <c r="V760">
        <v>11</v>
      </c>
      <c r="W760" t="s">
        <v>31</v>
      </c>
    </row>
    <row r="761" spans="1:23" x14ac:dyDescent="0.3">
      <c r="A761" t="s">
        <v>1431</v>
      </c>
      <c r="B761" t="s">
        <v>2182</v>
      </c>
      <c r="C761">
        <v>35</v>
      </c>
      <c r="D761" t="s">
        <v>33</v>
      </c>
      <c r="E761" t="s">
        <v>23</v>
      </c>
      <c r="F761" t="s">
        <v>35</v>
      </c>
      <c r="G761" t="s">
        <v>43</v>
      </c>
      <c r="H761" t="s">
        <v>44</v>
      </c>
      <c r="I761" t="s">
        <v>65</v>
      </c>
      <c r="J761" t="s">
        <v>1432</v>
      </c>
      <c r="K761">
        <v>2021</v>
      </c>
      <c r="L761">
        <v>3</v>
      </c>
      <c r="M761">
        <v>9</v>
      </c>
      <c r="N761" t="s">
        <v>29</v>
      </c>
      <c r="O761">
        <v>4</v>
      </c>
      <c r="P761">
        <v>5</v>
      </c>
      <c r="Q761" t="s">
        <v>31</v>
      </c>
      <c r="R761">
        <v>5</v>
      </c>
      <c r="S761">
        <v>23</v>
      </c>
      <c r="T761">
        <v>100999</v>
      </c>
      <c r="U761">
        <v>13000</v>
      </c>
      <c r="V761">
        <v>13</v>
      </c>
      <c r="W761" t="s">
        <v>31</v>
      </c>
    </row>
    <row r="762" spans="1:23" x14ac:dyDescent="0.3">
      <c r="A762" t="s">
        <v>1433</v>
      </c>
      <c r="B762" t="s">
        <v>2173</v>
      </c>
      <c r="C762">
        <v>49</v>
      </c>
      <c r="D762" t="s">
        <v>41</v>
      </c>
      <c r="E762" t="s">
        <v>61</v>
      </c>
      <c r="F762" t="s">
        <v>24</v>
      </c>
      <c r="G762" t="s">
        <v>52</v>
      </c>
      <c r="H762" t="s">
        <v>132</v>
      </c>
      <c r="I762" t="s">
        <v>27</v>
      </c>
      <c r="J762" t="s">
        <v>1373</v>
      </c>
      <c r="K762">
        <v>2021</v>
      </c>
      <c r="L762">
        <v>3</v>
      </c>
      <c r="M762">
        <v>19</v>
      </c>
      <c r="N762" t="s">
        <v>29</v>
      </c>
      <c r="O762">
        <v>4</v>
      </c>
      <c r="P762">
        <v>5</v>
      </c>
      <c r="Q762" t="s">
        <v>31</v>
      </c>
      <c r="R762">
        <v>14</v>
      </c>
      <c r="S762">
        <v>29</v>
      </c>
      <c r="T762">
        <v>51706</v>
      </c>
      <c r="U762">
        <v>5600</v>
      </c>
      <c r="V762">
        <v>14.2</v>
      </c>
      <c r="W762" t="s">
        <v>31</v>
      </c>
    </row>
    <row r="763" spans="1:23" x14ac:dyDescent="0.3">
      <c r="A763" t="s">
        <v>1434</v>
      </c>
      <c r="B763" t="s">
        <v>2013</v>
      </c>
      <c r="C763">
        <v>41</v>
      </c>
      <c r="D763" t="s">
        <v>33</v>
      </c>
      <c r="E763" t="s">
        <v>71</v>
      </c>
      <c r="F763" t="s">
        <v>51</v>
      </c>
      <c r="G763" t="s">
        <v>100</v>
      </c>
      <c r="H763" t="s">
        <v>129</v>
      </c>
      <c r="I763" t="s">
        <v>27</v>
      </c>
      <c r="J763" t="s">
        <v>287</v>
      </c>
      <c r="K763">
        <v>2022</v>
      </c>
      <c r="L763">
        <v>2</v>
      </c>
      <c r="M763">
        <v>17</v>
      </c>
      <c r="N763" t="s">
        <v>29</v>
      </c>
      <c r="O763">
        <v>5</v>
      </c>
      <c r="P763">
        <v>5</v>
      </c>
      <c r="Q763" t="s">
        <v>31</v>
      </c>
      <c r="R763">
        <v>23</v>
      </c>
      <c r="S763">
        <v>54</v>
      </c>
      <c r="T763">
        <v>60869</v>
      </c>
      <c r="U763">
        <v>6800</v>
      </c>
      <c r="V763">
        <v>9.9</v>
      </c>
      <c r="W763" t="s">
        <v>31</v>
      </c>
    </row>
    <row r="764" spans="1:23" x14ac:dyDescent="0.3">
      <c r="A764" t="s">
        <v>1435</v>
      </c>
      <c r="B764" t="s">
        <v>2183</v>
      </c>
      <c r="C764">
        <v>42</v>
      </c>
      <c r="D764" t="s">
        <v>33</v>
      </c>
      <c r="E764" t="s">
        <v>34</v>
      </c>
      <c r="F764" t="s">
        <v>153</v>
      </c>
      <c r="G764" t="s">
        <v>52</v>
      </c>
      <c r="H764" t="s">
        <v>320</v>
      </c>
      <c r="I764" t="s">
        <v>27</v>
      </c>
      <c r="J764" t="s">
        <v>1436</v>
      </c>
      <c r="K764">
        <v>2024</v>
      </c>
      <c r="L764">
        <v>0</v>
      </c>
      <c r="M764">
        <v>13</v>
      </c>
      <c r="N764" t="s">
        <v>29</v>
      </c>
      <c r="O764">
        <v>1</v>
      </c>
      <c r="P764">
        <v>2</v>
      </c>
      <c r="Q764" t="s">
        <v>31</v>
      </c>
      <c r="R764">
        <v>5</v>
      </c>
      <c r="S764">
        <v>28</v>
      </c>
      <c r="T764">
        <v>71547</v>
      </c>
      <c r="U764">
        <v>9600</v>
      </c>
      <c r="V764">
        <v>13.3</v>
      </c>
      <c r="W764" t="s">
        <v>30</v>
      </c>
    </row>
    <row r="765" spans="1:23" x14ac:dyDescent="0.3">
      <c r="A765" t="s">
        <v>1437</v>
      </c>
      <c r="B765" t="s">
        <v>2042</v>
      </c>
      <c r="C765">
        <v>34</v>
      </c>
      <c r="D765" t="s">
        <v>41</v>
      </c>
      <c r="E765" t="s">
        <v>61</v>
      </c>
      <c r="F765" t="s">
        <v>35</v>
      </c>
      <c r="G765" t="s">
        <v>43</v>
      </c>
      <c r="H765" t="s">
        <v>96</v>
      </c>
      <c r="I765" t="s">
        <v>27</v>
      </c>
      <c r="J765" t="s">
        <v>1279</v>
      </c>
      <c r="K765">
        <v>2024</v>
      </c>
      <c r="L765">
        <v>0</v>
      </c>
      <c r="M765">
        <v>12</v>
      </c>
      <c r="N765" t="s">
        <v>39</v>
      </c>
      <c r="O765">
        <v>5</v>
      </c>
      <c r="P765">
        <v>2</v>
      </c>
      <c r="Q765" t="s">
        <v>30</v>
      </c>
      <c r="R765">
        <v>10</v>
      </c>
      <c r="S765">
        <v>72</v>
      </c>
      <c r="T765">
        <v>128626</v>
      </c>
      <c r="U765">
        <v>4100</v>
      </c>
      <c r="V765">
        <v>7.9</v>
      </c>
      <c r="W765" t="s">
        <v>30</v>
      </c>
    </row>
    <row r="766" spans="1:23" x14ac:dyDescent="0.3">
      <c r="A766" t="s">
        <v>1438</v>
      </c>
      <c r="B766" t="s">
        <v>2184</v>
      </c>
      <c r="C766">
        <v>50</v>
      </c>
      <c r="D766" t="s">
        <v>22</v>
      </c>
      <c r="E766" t="s">
        <v>34</v>
      </c>
      <c r="F766" t="s">
        <v>137</v>
      </c>
      <c r="G766" t="s">
        <v>82</v>
      </c>
      <c r="H766" t="s">
        <v>323</v>
      </c>
      <c r="I766" t="s">
        <v>65</v>
      </c>
      <c r="J766" t="s">
        <v>1218</v>
      </c>
      <c r="K766">
        <v>2023</v>
      </c>
      <c r="L766">
        <v>1</v>
      </c>
      <c r="M766">
        <v>20</v>
      </c>
      <c r="N766" t="s">
        <v>98</v>
      </c>
      <c r="O766">
        <v>2</v>
      </c>
      <c r="P766">
        <v>5</v>
      </c>
      <c r="Q766" t="s">
        <v>31</v>
      </c>
      <c r="R766">
        <v>13</v>
      </c>
      <c r="S766">
        <v>76</v>
      </c>
      <c r="T766">
        <v>80830</v>
      </c>
      <c r="U766">
        <v>6700</v>
      </c>
      <c r="V766">
        <v>4.5</v>
      </c>
      <c r="W766" t="s">
        <v>31</v>
      </c>
    </row>
    <row r="767" spans="1:23" x14ac:dyDescent="0.3">
      <c r="A767" t="s">
        <v>1439</v>
      </c>
      <c r="B767" t="s">
        <v>2010</v>
      </c>
      <c r="C767">
        <v>41</v>
      </c>
      <c r="D767" t="s">
        <v>41</v>
      </c>
      <c r="E767" t="s">
        <v>71</v>
      </c>
      <c r="F767" t="s">
        <v>137</v>
      </c>
      <c r="G767" t="s">
        <v>63</v>
      </c>
      <c r="H767" t="s">
        <v>337</v>
      </c>
      <c r="I767" t="s">
        <v>27</v>
      </c>
      <c r="J767" t="s">
        <v>1440</v>
      </c>
      <c r="K767">
        <v>2022</v>
      </c>
      <c r="L767">
        <v>2</v>
      </c>
      <c r="M767">
        <v>11</v>
      </c>
      <c r="N767" t="s">
        <v>29</v>
      </c>
      <c r="O767">
        <v>4</v>
      </c>
      <c r="P767">
        <v>1</v>
      </c>
      <c r="Q767" t="s">
        <v>31</v>
      </c>
      <c r="R767">
        <v>11</v>
      </c>
      <c r="S767">
        <v>22</v>
      </c>
      <c r="T767">
        <v>37163</v>
      </c>
      <c r="U767">
        <v>4100</v>
      </c>
      <c r="V767">
        <v>8.4</v>
      </c>
      <c r="W767" t="s">
        <v>31</v>
      </c>
    </row>
    <row r="768" spans="1:23" x14ac:dyDescent="0.3">
      <c r="A768" t="s">
        <v>1441</v>
      </c>
      <c r="B768" t="s">
        <v>2185</v>
      </c>
      <c r="C768">
        <v>42</v>
      </c>
      <c r="D768" t="s">
        <v>33</v>
      </c>
      <c r="E768" t="s">
        <v>34</v>
      </c>
      <c r="F768" t="s">
        <v>51</v>
      </c>
      <c r="G768" t="s">
        <v>43</v>
      </c>
      <c r="H768" t="s">
        <v>44</v>
      </c>
      <c r="I768" t="s">
        <v>27</v>
      </c>
      <c r="J768" t="s">
        <v>1442</v>
      </c>
      <c r="K768">
        <v>2024</v>
      </c>
      <c r="L768">
        <v>0</v>
      </c>
      <c r="M768">
        <v>18</v>
      </c>
      <c r="N768" t="s">
        <v>29</v>
      </c>
      <c r="O768">
        <v>5</v>
      </c>
      <c r="P768">
        <v>4</v>
      </c>
      <c r="Q768" t="s">
        <v>31</v>
      </c>
      <c r="R768">
        <v>12</v>
      </c>
      <c r="S768">
        <v>69</v>
      </c>
      <c r="T768">
        <v>129245</v>
      </c>
      <c r="U768">
        <v>17200</v>
      </c>
      <c r="V768">
        <v>14.6</v>
      </c>
      <c r="W768" t="s">
        <v>30</v>
      </c>
    </row>
    <row r="769" spans="1:23" x14ac:dyDescent="0.3">
      <c r="A769" t="s">
        <v>1443</v>
      </c>
      <c r="B769" t="s">
        <v>2085</v>
      </c>
      <c r="C769">
        <v>29</v>
      </c>
      <c r="D769" t="s">
        <v>33</v>
      </c>
      <c r="E769" t="s">
        <v>34</v>
      </c>
      <c r="F769" t="s">
        <v>42</v>
      </c>
      <c r="G769" t="s">
        <v>25</v>
      </c>
      <c r="H769" t="s">
        <v>205</v>
      </c>
      <c r="I769" t="s">
        <v>27</v>
      </c>
      <c r="J769" t="s">
        <v>1444</v>
      </c>
      <c r="K769">
        <v>2024</v>
      </c>
      <c r="L769">
        <v>0</v>
      </c>
      <c r="M769">
        <v>5</v>
      </c>
      <c r="N769" t="s">
        <v>85</v>
      </c>
      <c r="O769">
        <v>2</v>
      </c>
      <c r="P769">
        <v>2</v>
      </c>
      <c r="Q769" t="s">
        <v>31</v>
      </c>
      <c r="R769">
        <v>11</v>
      </c>
      <c r="S769">
        <v>6</v>
      </c>
      <c r="T769">
        <v>92801</v>
      </c>
      <c r="U769">
        <v>22200</v>
      </c>
      <c r="V769">
        <v>3.5</v>
      </c>
      <c r="W769" t="s">
        <v>31</v>
      </c>
    </row>
    <row r="770" spans="1:23" x14ac:dyDescent="0.3">
      <c r="A770" t="s">
        <v>1445</v>
      </c>
      <c r="B770" t="s">
        <v>2186</v>
      </c>
      <c r="C770">
        <v>47</v>
      </c>
      <c r="D770" t="s">
        <v>33</v>
      </c>
      <c r="E770" t="s">
        <v>71</v>
      </c>
      <c r="F770" t="s">
        <v>24</v>
      </c>
      <c r="G770" t="s">
        <v>36</v>
      </c>
      <c r="H770" t="s">
        <v>68</v>
      </c>
      <c r="I770" t="s">
        <v>79</v>
      </c>
      <c r="J770" t="s">
        <v>753</v>
      </c>
      <c r="K770">
        <v>2023</v>
      </c>
      <c r="L770">
        <v>1</v>
      </c>
      <c r="M770">
        <v>20</v>
      </c>
      <c r="N770" t="s">
        <v>85</v>
      </c>
      <c r="O770">
        <v>3</v>
      </c>
      <c r="P770">
        <v>3</v>
      </c>
      <c r="Q770" t="s">
        <v>30</v>
      </c>
      <c r="R770">
        <v>5</v>
      </c>
      <c r="S770">
        <v>67</v>
      </c>
      <c r="T770">
        <v>82302</v>
      </c>
      <c r="U770">
        <v>17600</v>
      </c>
      <c r="V770">
        <v>5</v>
      </c>
      <c r="W770" t="s">
        <v>31</v>
      </c>
    </row>
    <row r="771" spans="1:23" x14ac:dyDescent="0.3">
      <c r="A771" t="s">
        <v>1446</v>
      </c>
      <c r="B771" t="s">
        <v>2187</v>
      </c>
      <c r="C771">
        <v>46</v>
      </c>
      <c r="D771" t="s">
        <v>41</v>
      </c>
      <c r="E771" t="s">
        <v>34</v>
      </c>
      <c r="F771" t="s">
        <v>153</v>
      </c>
      <c r="G771" t="s">
        <v>117</v>
      </c>
      <c r="H771" t="s">
        <v>118</v>
      </c>
      <c r="I771" t="s">
        <v>79</v>
      </c>
      <c r="J771" t="s">
        <v>1447</v>
      </c>
      <c r="K771">
        <v>2022</v>
      </c>
      <c r="L771">
        <v>2</v>
      </c>
      <c r="M771">
        <v>20</v>
      </c>
      <c r="N771" t="s">
        <v>29</v>
      </c>
      <c r="O771">
        <v>2</v>
      </c>
      <c r="P771">
        <v>2</v>
      </c>
      <c r="Q771" t="s">
        <v>30</v>
      </c>
      <c r="R771">
        <v>17</v>
      </c>
      <c r="S771">
        <v>73</v>
      </c>
      <c r="T771">
        <v>71162</v>
      </c>
      <c r="U771">
        <v>7300</v>
      </c>
      <c r="V771">
        <v>9.4</v>
      </c>
      <c r="W771" t="s">
        <v>31</v>
      </c>
    </row>
    <row r="772" spans="1:23" x14ac:dyDescent="0.3">
      <c r="A772" t="s">
        <v>1448</v>
      </c>
      <c r="B772" t="s">
        <v>2067</v>
      </c>
      <c r="C772">
        <v>35</v>
      </c>
      <c r="D772" t="s">
        <v>41</v>
      </c>
      <c r="E772" t="s">
        <v>71</v>
      </c>
      <c r="F772" t="s">
        <v>62</v>
      </c>
      <c r="G772" t="s">
        <v>100</v>
      </c>
      <c r="H772" t="s">
        <v>150</v>
      </c>
      <c r="I772" t="s">
        <v>27</v>
      </c>
      <c r="J772" t="s">
        <v>1083</v>
      </c>
      <c r="K772">
        <v>2021</v>
      </c>
      <c r="L772">
        <v>3</v>
      </c>
      <c r="M772">
        <v>11</v>
      </c>
      <c r="N772" t="s">
        <v>98</v>
      </c>
      <c r="O772">
        <v>5</v>
      </c>
      <c r="P772">
        <v>2</v>
      </c>
      <c r="Q772" t="s">
        <v>31</v>
      </c>
      <c r="R772">
        <v>22</v>
      </c>
      <c r="S772">
        <v>28</v>
      </c>
      <c r="T772">
        <v>62143</v>
      </c>
      <c r="U772">
        <v>5100</v>
      </c>
      <c r="V772">
        <v>5.0999999999999996</v>
      </c>
      <c r="W772" t="s">
        <v>31</v>
      </c>
    </row>
    <row r="773" spans="1:23" x14ac:dyDescent="0.3">
      <c r="A773" t="s">
        <v>1449</v>
      </c>
      <c r="B773" t="s">
        <v>2188</v>
      </c>
      <c r="C773">
        <v>40</v>
      </c>
      <c r="D773" t="s">
        <v>33</v>
      </c>
      <c r="E773" t="s">
        <v>71</v>
      </c>
      <c r="F773" t="s">
        <v>42</v>
      </c>
      <c r="G773" t="s">
        <v>43</v>
      </c>
      <c r="H773" t="s">
        <v>96</v>
      </c>
      <c r="I773" t="s">
        <v>27</v>
      </c>
      <c r="J773" t="s">
        <v>1002</v>
      </c>
      <c r="K773">
        <v>2023</v>
      </c>
      <c r="L773">
        <v>1</v>
      </c>
      <c r="M773">
        <v>17</v>
      </c>
      <c r="N773" t="s">
        <v>29</v>
      </c>
      <c r="O773">
        <v>5</v>
      </c>
      <c r="P773">
        <v>3</v>
      </c>
      <c r="Q773" t="s">
        <v>31</v>
      </c>
      <c r="R773">
        <v>24</v>
      </c>
      <c r="S773">
        <v>62</v>
      </c>
      <c r="T773">
        <v>121277</v>
      </c>
      <c r="U773">
        <v>11800</v>
      </c>
      <c r="V773">
        <v>10.7</v>
      </c>
      <c r="W773" t="s">
        <v>31</v>
      </c>
    </row>
    <row r="774" spans="1:23" x14ac:dyDescent="0.3">
      <c r="A774" t="s">
        <v>1450</v>
      </c>
      <c r="B774" t="s">
        <v>2189</v>
      </c>
      <c r="C774">
        <v>43</v>
      </c>
      <c r="D774" t="s">
        <v>33</v>
      </c>
      <c r="E774" t="s">
        <v>56</v>
      </c>
      <c r="F774" t="s">
        <v>35</v>
      </c>
      <c r="G774" t="s">
        <v>36</v>
      </c>
      <c r="H774" t="s">
        <v>68</v>
      </c>
      <c r="I774" t="s">
        <v>27</v>
      </c>
      <c r="J774" t="s">
        <v>831</v>
      </c>
      <c r="K774">
        <v>2022</v>
      </c>
      <c r="L774">
        <v>2</v>
      </c>
      <c r="M774">
        <v>20</v>
      </c>
      <c r="N774" t="s">
        <v>98</v>
      </c>
      <c r="O774">
        <v>5</v>
      </c>
      <c r="P774">
        <v>3</v>
      </c>
      <c r="Q774" t="s">
        <v>31</v>
      </c>
      <c r="R774">
        <v>18</v>
      </c>
      <c r="S774">
        <v>30</v>
      </c>
      <c r="T774">
        <v>78574</v>
      </c>
      <c r="U774">
        <v>4600</v>
      </c>
      <c r="V774">
        <v>13</v>
      </c>
      <c r="W774" t="s">
        <v>31</v>
      </c>
    </row>
    <row r="775" spans="1:23" x14ac:dyDescent="0.3">
      <c r="A775" t="s">
        <v>1451</v>
      </c>
      <c r="B775" t="s">
        <v>2028</v>
      </c>
      <c r="C775">
        <v>33</v>
      </c>
      <c r="D775" t="s">
        <v>33</v>
      </c>
      <c r="E775" t="s">
        <v>34</v>
      </c>
      <c r="F775" t="s">
        <v>62</v>
      </c>
      <c r="G775" t="s">
        <v>100</v>
      </c>
      <c r="H775" t="s">
        <v>101</v>
      </c>
      <c r="I775" t="s">
        <v>79</v>
      </c>
      <c r="J775" t="s">
        <v>1452</v>
      </c>
      <c r="K775">
        <v>2023</v>
      </c>
      <c r="L775">
        <v>1</v>
      </c>
      <c r="M775">
        <v>10</v>
      </c>
      <c r="N775" t="s">
        <v>85</v>
      </c>
      <c r="O775">
        <v>4</v>
      </c>
      <c r="P775">
        <v>4</v>
      </c>
      <c r="Q775" t="s">
        <v>30</v>
      </c>
      <c r="R775">
        <v>23</v>
      </c>
      <c r="S775">
        <v>67</v>
      </c>
      <c r="T775">
        <v>69732</v>
      </c>
      <c r="U775">
        <v>15800</v>
      </c>
      <c r="V775">
        <v>5.4</v>
      </c>
      <c r="W775" t="s">
        <v>31</v>
      </c>
    </row>
    <row r="776" spans="1:23" x14ac:dyDescent="0.3">
      <c r="A776" t="s">
        <v>1453</v>
      </c>
      <c r="B776" t="s">
        <v>1862</v>
      </c>
      <c r="C776">
        <v>46</v>
      </c>
      <c r="D776" t="s">
        <v>41</v>
      </c>
      <c r="E776" t="s">
        <v>23</v>
      </c>
      <c r="F776" t="s">
        <v>137</v>
      </c>
      <c r="G776" t="s">
        <v>100</v>
      </c>
      <c r="H776" t="s">
        <v>150</v>
      </c>
      <c r="I776" t="s">
        <v>27</v>
      </c>
      <c r="J776" t="s">
        <v>1454</v>
      </c>
      <c r="K776">
        <v>2023</v>
      </c>
      <c r="L776">
        <v>2</v>
      </c>
      <c r="M776">
        <v>20</v>
      </c>
      <c r="N776" t="s">
        <v>98</v>
      </c>
      <c r="O776">
        <v>2</v>
      </c>
      <c r="P776">
        <v>4</v>
      </c>
      <c r="Q776" t="s">
        <v>31</v>
      </c>
      <c r="R776">
        <v>12</v>
      </c>
      <c r="S776">
        <v>78</v>
      </c>
      <c r="T776">
        <v>49809</v>
      </c>
      <c r="U776">
        <v>3700</v>
      </c>
      <c r="V776">
        <v>4.3</v>
      </c>
      <c r="W776" t="s">
        <v>31</v>
      </c>
    </row>
    <row r="777" spans="1:23" x14ac:dyDescent="0.3">
      <c r="A777" t="s">
        <v>1455</v>
      </c>
      <c r="B777" t="s">
        <v>2190</v>
      </c>
      <c r="C777">
        <v>34</v>
      </c>
      <c r="D777" t="s">
        <v>33</v>
      </c>
      <c r="E777" t="s">
        <v>34</v>
      </c>
      <c r="F777" t="s">
        <v>35</v>
      </c>
      <c r="G777" t="s">
        <v>36</v>
      </c>
      <c r="H777" t="s">
        <v>76</v>
      </c>
      <c r="I777" t="s">
        <v>79</v>
      </c>
      <c r="J777" t="s">
        <v>489</v>
      </c>
      <c r="K777">
        <v>2021</v>
      </c>
      <c r="L777">
        <v>3</v>
      </c>
      <c r="M777">
        <v>5</v>
      </c>
      <c r="N777" t="s">
        <v>85</v>
      </c>
      <c r="O777">
        <v>3</v>
      </c>
      <c r="P777">
        <v>5</v>
      </c>
      <c r="Q777" t="s">
        <v>31</v>
      </c>
      <c r="R777">
        <v>24</v>
      </c>
      <c r="S777">
        <v>54</v>
      </c>
      <c r="T777">
        <v>68657</v>
      </c>
      <c r="U777">
        <v>15600</v>
      </c>
      <c r="V777">
        <v>9.3000000000000007</v>
      </c>
      <c r="W777" t="s">
        <v>31</v>
      </c>
    </row>
    <row r="778" spans="1:23" x14ac:dyDescent="0.3">
      <c r="A778" t="s">
        <v>1456</v>
      </c>
      <c r="B778" t="s">
        <v>2040</v>
      </c>
      <c r="C778">
        <v>41</v>
      </c>
      <c r="D778" t="s">
        <v>41</v>
      </c>
      <c r="E778" t="s">
        <v>34</v>
      </c>
      <c r="F778" t="s">
        <v>47</v>
      </c>
      <c r="G778" t="s">
        <v>117</v>
      </c>
      <c r="H778" t="s">
        <v>118</v>
      </c>
      <c r="I778" t="s">
        <v>27</v>
      </c>
      <c r="J778" t="s">
        <v>1457</v>
      </c>
      <c r="K778">
        <v>2024</v>
      </c>
      <c r="L778">
        <v>0</v>
      </c>
      <c r="M778">
        <v>15</v>
      </c>
      <c r="N778" t="s">
        <v>85</v>
      </c>
      <c r="O778">
        <v>3</v>
      </c>
      <c r="P778">
        <v>5</v>
      </c>
      <c r="Q778" t="s">
        <v>31</v>
      </c>
      <c r="R778">
        <v>13</v>
      </c>
      <c r="S778">
        <v>46</v>
      </c>
      <c r="T778">
        <v>65983</v>
      </c>
      <c r="U778">
        <v>14300</v>
      </c>
      <c r="V778">
        <v>9.1</v>
      </c>
      <c r="W778" t="s">
        <v>31</v>
      </c>
    </row>
    <row r="779" spans="1:23" x14ac:dyDescent="0.3">
      <c r="A779" t="s">
        <v>1458</v>
      </c>
      <c r="B779" t="s">
        <v>1997</v>
      </c>
      <c r="C779">
        <v>31</v>
      </c>
      <c r="D779" t="s">
        <v>33</v>
      </c>
      <c r="E779" t="s">
        <v>23</v>
      </c>
      <c r="F779" t="s">
        <v>137</v>
      </c>
      <c r="G779" t="s">
        <v>63</v>
      </c>
      <c r="H779" t="s">
        <v>337</v>
      </c>
      <c r="I779" t="s">
        <v>79</v>
      </c>
      <c r="J779" t="s">
        <v>1459</v>
      </c>
      <c r="K779">
        <v>2023</v>
      </c>
      <c r="L779">
        <v>1</v>
      </c>
      <c r="M779">
        <v>5</v>
      </c>
      <c r="N779" t="s">
        <v>85</v>
      </c>
      <c r="O779">
        <v>1</v>
      </c>
      <c r="P779">
        <v>2</v>
      </c>
      <c r="Q779" t="s">
        <v>30</v>
      </c>
      <c r="R779">
        <v>9</v>
      </c>
      <c r="S779">
        <v>47</v>
      </c>
      <c r="T779">
        <v>64834</v>
      </c>
      <c r="U779">
        <v>10800</v>
      </c>
      <c r="V779">
        <v>11.3</v>
      </c>
      <c r="W779" t="s">
        <v>31</v>
      </c>
    </row>
    <row r="780" spans="1:23" x14ac:dyDescent="0.3">
      <c r="A780" t="s">
        <v>1460</v>
      </c>
      <c r="B780" t="s">
        <v>2046</v>
      </c>
      <c r="C780">
        <v>31</v>
      </c>
      <c r="D780" t="s">
        <v>33</v>
      </c>
      <c r="E780" t="s">
        <v>56</v>
      </c>
      <c r="F780" t="s">
        <v>153</v>
      </c>
      <c r="G780" t="s">
        <v>82</v>
      </c>
      <c r="H780" t="s">
        <v>83</v>
      </c>
      <c r="I780" t="s">
        <v>27</v>
      </c>
      <c r="J780" t="s">
        <v>605</v>
      </c>
      <c r="K780">
        <v>2021</v>
      </c>
      <c r="L780">
        <v>3</v>
      </c>
      <c r="M780">
        <v>4</v>
      </c>
      <c r="N780" t="s">
        <v>29</v>
      </c>
      <c r="O780">
        <v>2</v>
      </c>
      <c r="P780">
        <v>1</v>
      </c>
      <c r="Q780" t="s">
        <v>31</v>
      </c>
      <c r="R780">
        <v>9</v>
      </c>
      <c r="S780">
        <v>38</v>
      </c>
      <c r="T780">
        <v>49537</v>
      </c>
      <c r="U780">
        <v>5500</v>
      </c>
      <c r="V780">
        <v>8.8000000000000007</v>
      </c>
      <c r="W780" t="s">
        <v>31</v>
      </c>
    </row>
    <row r="781" spans="1:23" x14ac:dyDescent="0.3">
      <c r="A781" t="s">
        <v>1461</v>
      </c>
      <c r="B781" t="s">
        <v>1952</v>
      </c>
      <c r="C781">
        <v>49</v>
      </c>
      <c r="D781" t="s">
        <v>33</v>
      </c>
      <c r="E781" t="s">
        <v>34</v>
      </c>
      <c r="F781" t="s">
        <v>153</v>
      </c>
      <c r="G781" t="s">
        <v>36</v>
      </c>
      <c r="H781" t="s">
        <v>68</v>
      </c>
      <c r="I781" t="s">
        <v>27</v>
      </c>
      <c r="J781" t="s">
        <v>1462</v>
      </c>
      <c r="K781">
        <v>2024</v>
      </c>
      <c r="L781">
        <v>0</v>
      </c>
      <c r="M781">
        <v>20</v>
      </c>
      <c r="N781" t="s">
        <v>39</v>
      </c>
      <c r="O781">
        <v>1</v>
      </c>
      <c r="P781">
        <v>2</v>
      </c>
      <c r="Q781" t="s">
        <v>31</v>
      </c>
      <c r="R781">
        <v>11</v>
      </c>
      <c r="S781">
        <v>65</v>
      </c>
      <c r="T781">
        <v>90243</v>
      </c>
      <c r="U781">
        <v>2400</v>
      </c>
      <c r="V781">
        <v>8.4</v>
      </c>
      <c r="W781" t="s">
        <v>31</v>
      </c>
    </row>
    <row r="782" spans="1:23" x14ac:dyDescent="0.3">
      <c r="A782" t="s">
        <v>1463</v>
      </c>
      <c r="B782" t="s">
        <v>2158</v>
      </c>
      <c r="C782">
        <v>36</v>
      </c>
      <c r="D782" t="s">
        <v>33</v>
      </c>
      <c r="E782" t="s">
        <v>61</v>
      </c>
      <c r="F782" t="s">
        <v>137</v>
      </c>
      <c r="G782" t="s">
        <v>52</v>
      </c>
      <c r="H782" t="s">
        <v>53</v>
      </c>
      <c r="I782" t="s">
        <v>27</v>
      </c>
      <c r="J782" t="s">
        <v>609</v>
      </c>
      <c r="K782">
        <v>2021</v>
      </c>
      <c r="L782">
        <v>3</v>
      </c>
      <c r="M782">
        <v>6</v>
      </c>
      <c r="N782" t="s">
        <v>98</v>
      </c>
      <c r="O782">
        <v>5</v>
      </c>
      <c r="P782">
        <v>1</v>
      </c>
      <c r="Q782" t="s">
        <v>30</v>
      </c>
      <c r="R782">
        <v>1</v>
      </c>
      <c r="S782">
        <v>48</v>
      </c>
      <c r="T782">
        <v>51937</v>
      </c>
      <c r="U782">
        <v>3200</v>
      </c>
      <c r="V782">
        <v>3.8</v>
      </c>
      <c r="W782" t="s">
        <v>31</v>
      </c>
    </row>
    <row r="783" spans="1:23" x14ac:dyDescent="0.3">
      <c r="A783" t="s">
        <v>1464</v>
      </c>
      <c r="B783" t="s">
        <v>2034</v>
      </c>
      <c r="C783">
        <v>31</v>
      </c>
      <c r="D783" t="s">
        <v>33</v>
      </c>
      <c r="E783" t="s">
        <v>71</v>
      </c>
      <c r="F783" t="s">
        <v>51</v>
      </c>
      <c r="G783" t="s">
        <v>82</v>
      </c>
      <c r="H783" t="s">
        <v>286</v>
      </c>
      <c r="I783" t="s">
        <v>27</v>
      </c>
      <c r="J783" t="s">
        <v>1171</v>
      </c>
      <c r="K783">
        <v>2024</v>
      </c>
      <c r="L783">
        <v>0</v>
      </c>
      <c r="M783">
        <v>6</v>
      </c>
      <c r="N783" t="s">
        <v>29</v>
      </c>
      <c r="O783">
        <v>2</v>
      </c>
      <c r="P783">
        <v>3</v>
      </c>
      <c r="Q783" t="s">
        <v>31</v>
      </c>
      <c r="R783">
        <v>15</v>
      </c>
      <c r="S783">
        <v>59</v>
      </c>
      <c r="T783">
        <v>75355</v>
      </c>
      <c r="U783">
        <v>9200</v>
      </c>
      <c r="V783">
        <v>12.2</v>
      </c>
      <c r="W783" t="s">
        <v>31</v>
      </c>
    </row>
    <row r="784" spans="1:23" x14ac:dyDescent="0.3">
      <c r="A784" t="s">
        <v>1465</v>
      </c>
      <c r="B784" t="s">
        <v>2048</v>
      </c>
      <c r="C784">
        <v>37</v>
      </c>
      <c r="D784" t="s">
        <v>41</v>
      </c>
      <c r="E784" t="s">
        <v>56</v>
      </c>
      <c r="F784" t="s">
        <v>51</v>
      </c>
      <c r="G784" t="s">
        <v>25</v>
      </c>
      <c r="H784" t="s">
        <v>58</v>
      </c>
      <c r="I784" t="s">
        <v>27</v>
      </c>
      <c r="J784" t="s">
        <v>1466</v>
      </c>
      <c r="K784">
        <v>2023</v>
      </c>
      <c r="L784">
        <v>1</v>
      </c>
      <c r="M784">
        <v>13</v>
      </c>
      <c r="N784" t="s">
        <v>29</v>
      </c>
      <c r="O784">
        <v>5</v>
      </c>
      <c r="P784">
        <v>2</v>
      </c>
      <c r="Q784" t="s">
        <v>31</v>
      </c>
      <c r="R784">
        <v>23</v>
      </c>
      <c r="S784">
        <v>13</v>
      </c>
      <c r="T784">
        <v>57142</v>
      </c>
      <c r="U784">
        <v>7200</v>
      </c>
      <c r="V784">
        <v>9.1</v>
      </c>
      <c r="W784" t="s">
        <v>31</v>
      </c>
    </row>
    <row r="785" spans="1:23" x14ac:dyDescent="0.3">
      <c r="A785" t="s">
        <v>1467</v>
      </c>
      <c r="B785" t="s">
        <v>1839</v>
      </c>
      <c r="C785">
        <v>40</v>
      </c>
      <c r="D785" t="s">
        <v>41</v>
      </c>
      <c r="E785" t="s">
        <v>34</v>
      </c>
      <c r="F785" t="s">
        <v>35</v>
      </c>
      <c r="G785" t="s">
        <v>82</v>
      </c>
      <c r="H785" t="s">
        <v>323</v>
      </c>
      <c r="I785" t="s">
        <v>65</v>
      </c>
      <c r="J785" t="s">
        <v>1468</v>
      </c>
      <c r="K785">
        <v>2024</v>
      </c>
      <c r="L785">
        <v>0</v>
      </c>
      <c r="M785">
        <v>16</v>
      </c>
      <c r="N785" t="s">
        <v>85</v>
      </c>
      <c r="O785">
        <v>1</v>
      </c>
      <c r="P785">
        <v>3</v>
      </c>
      <c r="Q785" t="s">
        <v>31</v>
      </c>
      <c r="R785">
        <v>5</v>
      </c>
      <c r="S785">
        <v>22</v>
      </c>
      <c r="T785">
        <v>59094</v>
      </c>
      <c r="U785">
        <v>13200</v>
      </c>
      <c r="V785">
        <v>11.7</v>
      </c>
      <c r="W785" t="s">
        <v>31</v>
      </c>
    </row>
    <row r="786" spans="1:23" x14ac:dyDescent="0.3">
      <c r="A786" t="s">
        <v>1469</v>
      </c>
      <c r="B786" t="s">
        <v>2085</v>
      </c>
      <c r="C786">
        <v>29</v>
      </c>
      <c r="D786" t="s">
        <v>33</v>
      </c>
      <c r="E786" t="s">
        <v>71</v>
      </c>
      <c r="F786" t="s">
        <v>75</v>
      </c>
      <c r="G786" t="s">
        <v>43</v>
      </c>
      <c r="H786" t="s">
        <v>44</v>
      </c>
      <c r="I786" t="s">
        <v>79</v>
      </c>
      <c r="J786" t="s">
        <v>1470</v>
      </c>
      <c r="K786">
        <v>2022</v>
      </c>
      <c r="L786">
        <v>2</v>
      </c>
      <c r="M786">
        <v>6</v>
      </c>
      <c r="N786" t="s">
        <v>98</v>
      </c>
      <c r="O786">
        <v>3</v>
      </c>
      <c r="P786">
        <v>3</v>
      </c>
      <c r="Q786" t="s">
        <v>31</v>
      </c>
      <c r="R786">
        <v>22</v>
      </c>
      <c r="S786">
        <v>31</v>
      </c>
      <c r="T786">
        <v>112854</v>
      </c>
      <c r="U786">
        <v>8200</v>
      </c>
      <c r="V786">
        <v>10.7</v>
      </c>
      <c r="W786" t="s">
        <v>31</v>
      </c>
    </row>
    <row r="787" spans="1:23" x14ac:dyDescent="0.3">
      <c r="A787" t="s">
        <v>1471</v>
      </c>
      <c r="B787" t="s">
        <v>1983</v>
      </c>
      <c r="C787">
        <v>44</v>
      </c>
      <c r="D787" t="s">
        <v>41</v>
      </c>
      <c r="E787" t="s">
        <v>34</v>
      </c>
      <c r="F787" t="s">
        <v>51</v>
      </c>
      <c r="G787" t="s">
        <v>52</v>
      </c>
      <c r="H787" t="s">
        <v>53</v>
      </c>
      <c r="I787" t="s">
        <v>27</v>
      </c>
      <c r="J787" t="s">
        <v>900</v>
      </c>
      <c r="K787">
        <v>2024</v>
      </c>
      <c r="L787">
        <v>0</v>
      </c>
      <c r="M787">
        <v>15</v>
      </c>
      <c r="N787" t="s">
        <v>29</v>
      </c>
      <c r="O787">
        <v>1</v>
      </c>
      <c r="P787">
        <v>2</v>
      </c>
      <c r="Q787" t="s">
        <v>30</v>
      </c>
      <c r="R787">
        <v>14</v>
      </c>
      <c r="S787">
        <v>77</v>
      </c>
      <c r="T787">
        <v>70761</v>
      </c>
      <c r="U787">
        <v>10000</v>
      </c>
      <c r="V787">
        <v>9.9</v>
      </c>
      <c r="W787" t="s">
        <v>31</v>
      </c>
    </row>
    <row r="788" spans="1:23" x14ac:dyDescent="0.3">
      <c r="A788" t="s">
        <v>1472</v>
      </c>
      <c r="B788" t="s">
        <v>1810</v>
      </c>
      <c r="C788">
        <v>29</v>
      </c>
      <c r="D788" t="s">
        <v>41</v>
      </c>
      <c r="E788" t="s">
        <v>34</v>
      </c>
      <c r="F788" t="s">
        <v>24</v>
      </c>
      <c r="G788" t="s">
        <v>117</v>
      </c>
      <c r="H788" t="s">
        <v>118</v>
      </c>
      <c r="I788" t="s">
        <v>27</v>
      </c>
      <c r="J788" t="s">
        <v>1473</v>
      </c>
      <c r="K788">
        <v>2024</v>
      </c>
      <c r="L788">
        <v>0</v>
      </c>
      <c r="M788">
        <v>2</v>
      </c>
      <c r="N788" t="s">
        <v>29</v>
      </c>
      <c r="O788">
        <v>5</v>
      </c>
      <c r="P788">
        <v>5</v>
      </c>
      <c r="Q788" t="s">
        <v>31</v>
      </c>
      <c r="R788">
        <v>7</v>
      </c>
      <c r="S788">
        <v>16</v>
      </c>
      <c r="T788">
        <v>94052</v>
      </c>
      <c r="U788">
        <v>11400</v>
      </c>
      <c r="V788">
        <v>9</v>
      </c>
      <c r="W788" t="s">
        <v>31</v>
      </c>
    </row>
    <row r="789" spans="1:23" x14ac:dyDescent="0.3">
      <c r="A789" t="s">
        <v>1474</v>
      </c>
      <c r="B789" t="s">
        <v>1872</v>
      </c>
      <c r="C789">
        <v>40</v>
      </c>
      <c r="D789" t="s">
        <v>41</v>
      </c>
      <c r="E789" t="s">
        <v>71</v>
      </c>
      <c r="F789" t="s">
        <v>62</v>
      </c>
      <c r="G789" t="s">
        <v>43</v>
      </c>
      <c r="H789" t="s">
        <v>44</v>
      </c>
      <c r="I789" t="s">
        <v>79</v>
      </c>
      <c r="J789" t="s">
        <v>1475</v>
      </c>
      <c r="K789">
        <v>2021</v>
      </c>
      <c r="L789">
        <v>3</v>
      </c>
      <c r="M789">
        <v>12</v>
      </c>
      <c r="N789" t="s">
        <v>29</v>
      </c>
      <c r="O789">
        <v>4</v>
      </c>
      <c r="P789">
        <v>5</v>
      </c>
      <c r="Q789" t="s">
        <v>31</v>
      </c>
      <c r="R789">
        <v>16</v>
      </c>
      <c r="S789">
        <v>64</v>
      </c>
      <c r="T789">
        <v>77115</v>
      </c>
      <c r="U789">
        <v>8000</v>
      </c>
      <c r="V789">
        <v>13.6</v>
      </c>
      <c r="W789" t="s">
        <v>31</v>
      </c>
    </row>
    <row r="790" spans="1:23" x14ac:dyDescent="0.3">
      <c r="A790" t="s">
        <v>1476</v>
      </c>
      <c r="B790" t="s">
        <v>1993</v>
      </c>
      <c r="C790">
        <v>36</v>
      </c>
      <c r="D790" t="s">
        <v>41</v>
      </c>
      <c r="E790" t="s">
        <v>34</v>
      </c>
      <c r="F790" t="s">
        <v>137</v>
      </c>
      <c r="G790" t="s">
        <v>100</v>
      </c>
      <c r="H790" t="s">
        <v>129</v>
      </c>
      <c r="I790" t="s">
        <v>27</v>
      </c>
      <c r="J790" t="s">
        <v>1477</v>
      </c>
      <c r="K790">
        <v>2023</v>
      </c>
      <c r="L790">
        <v>1</v>
      </c>
      <c r="M790">
        <v>12</v>
      </c>
      <c r="N790" t="s">
        <v>29</v>
      </c>
      <c r="O790">
        <v>3</v>
      </c>
      <c r="P790">
        <v>3</v>
      </c>
      <c r="Q790" t="s">
        <v>31</v>
      </c>
      <c r="R790">
        <v>7</v>
      </c>
      <c r="S790">
        <v>49</v>
      </c>
      <c r="T790">
        <v>75061</v>
      </c>
      <c r="U790">
        <v>7400</v>
      </c>
      <c r="V790">
        <v>13.1</v>
      </c>
      <c r="W790" t="s">
        <v>31</v>
      </c>
    </row>
    <row r="791" spans="1:23" x14ac:dyDescent="0.3">
      <c r="A791" t="s">
        <v>1478</v>
      </c>
      <c r="B791" t="s">
        <v>1871</v>
      </c>
      <c r="C791">
        <v>30</v>
      </c>
      <c r="D791" t="s">
        <v>33</v>
      </c>
      <c r="E791" t="s">
        <v>61</v>
      </c>
      <c r="F791" t="s">
        <v>62</v>
      </c>
      <c r="G791" t="s">
        <v>43</v>
      </c>
      <c r="H791" t="s">
        <v>72</v>
      </c>
      <c r="I791" t="s">
        <v>27</v>
      </c>
      <c r="J791" t="s">
        <v>1397</v>
      </c>
      <c r="K791">
        <v>2023</v>
      </c>
      <c r="L791">
        <v>1</v>
      </c>
      <c r="M791">
        <v>3</v>
      </c>
      <c r="N791" t="s">
        <v>39</v>
      </c>
      <c r="O791">
        <v>5</v>
      </c>
      <c r="P791">
        <v>3</v>
      </c>
      <c r="Q791" t="s">
        <v>31</v>
      </c>
      <c r="R791">
        <v>21</v>
      </c>
      <c r="S791">
        <v>3</v>
      </c>
      <c r="T791">
        <v>91365</v>
      </c>
      <c r="U791">
        <v>3100</v>
      </c>
      <c r="V791">
        <v>9.8000000000000007</v>
      </c>
      <c r="W791" t="s">
        <v>30</v>
      </c>
    </row>
    <row r="792" spans="1:23" x14ac:dyDescent="0.3">
      <c r="A792" t="s">
        <v>1479</v>
      </c>
      <c r="B792" t="s">
        <v>2119</v>
      </c>
      <c r="C792">
        <v>29</v>
      </c>
      <c r="D792" t="s">
        <v>41</v>
      </c>
      <c r="E792" t="s">
        <v>71</v>
      </c>
      <c r="F792" t="s">
        <v>153</v>
      </c>
      <c r="G792" t="s">
        <v>63</v>
      </c>
      <c r="H792" t="s">
        <v>310</v>
      </c>
      <c r="I792" t="s">
        <v>27</v>
      </c>
      <c r="J792" t="s">
        <v>1006</v>
      </c>
      <c r="K792">
        <v>2022</v>
      </c>
      <c r="L792">
        <v>2</v>
      </c>
      <c r="M792">
        <v>7</v>
      </c>
      <c r="N792" t="s">
        <v>85</v>
      </c>
      <c r="O792">
        <v>2</v>
      </c>
      <c r="P792">
        <v>2</v>
      </c>
      <c r="Q792" t="s">
        <v>30</v>
      </c>
      <c r="R792">
        <v>3</v>
      </c>
      <c r="S792">
        <v>26</v>
      </c>
      <c r="T792">
        <v>50404</v>
      </c>
      <c r="U792">
        <v>10800</v>
      </c>
      <c r="V792">
        <v>9</v>
      </c>
      <c r="W792" t="s">
        <v>31</v>
      </c>
    </row>
    <row r="793" spans="1:23" x14ac:dyDescent="0.3">
      <c r="A793" t="s">
        <v>1480</v>
      </c>
      <c r="B793" t="s">
        <v>1984</v>
      </c>
      <c r="C793">
        <v>27</v>
      </c>
      <c r="D793" t="s">
        <v>41</v>
      </c>
      <c r="E793" t="s">
        <v>34</v>
      </c>
      <c r="F793" t="s">
        <v>57</v>
      </c>
      <c r="G793" t="s">
        <v>82</v>
      </c>
      <c r="H793" t="s">
        <v>83</v>
      </c>
      <c r="I793" t="s">
        <v>27</v>
      </c>
      <c r="J793" t="s">
        <v>342</v>
      </c>
      <c r="K793">
        <v>2024</v>
      </c>
      <c r="L793">
        <v>0</v>
      </c>
      <c r="M793">
        <v>5</v>
      </c>
      <c r="N793" t="s">
        <v>85</v>
      </c>
      <c r="O793">
        <v>1</v>
      </c>
      <c r="P793">
        <v>4</v>
      </c>
      <c r="Q793" t="s">
        <v>30</v>
      </c>
      <c r="R793">
        <v>4</v>
      </c>
      <c r="S793">
        <v>43</v>
      </c>
      <c r="T793">
        <v>89134</v>
      </c>
      <c r="U793">
        <v>15100</v>
      </c>
      <c r="V793">
        <v>7.8</v>
      </c>
      <c r="W793" t="s">
        <v>31</v>
      </c>
    </row>
    <row r="794" spans="1:23" x14ac:dyDescent="0.3">
      <c r="A794" t="s">
        <v>1481</v>
      </c>
      <c r="B794" t="s">
        <v>2191</v>
      </c>
      <c r="C794">
        <v>44</v>
      </c>
      <c r="D794" t="s">
        <v>33</v>
      </c>
      <c r="E794" t="s">
        <v>34</v>
      </c>
      <c r="F794" t="s">
        <v>47</v>
      </c>
      <c r="G794" t="s">
        <v>63</v>
      </c>
      <c r="H794" t="s">
        <v>225</v>
      </c>
      <c r="I794" t="s">
        <v>27</v>
      </c>
      <c r="J794" t="s">
        <v>1482</v>
      </c>
      <c r="K794">
        <v>2022</v>
      </c>
      <c r="L794">
        <v>2</v>
      </c>
      <c r="M794">
        <v>19</v>
      </c>
      <c r="N794" t="s">
        <v>29</v>
      </c>
      <c r="O794">
        <v>1</v>
      </c>
      <c r="P794">
        <v>2</v>
      </c>
      <c r="Q794" t="s">
        <v>31</v>
      </c>
      <c r="R794">
        <v>24</v>
      </c>
      <c r="S794">
        <v>36</v>
      </c>
      <c r="T794">
        <v>46053</v>
      </c>
      <c r="U794">
        <v>4500</v>
      </c>
      <c r="V794">
        <v>5.0999999999999996</v>
      </c>
      <c r="W794" t="s">
        <v>31</v>
      </c>
    </row>
    <row r="795" spans="1:23" x14ac:dyDescent="0.3">
      <c r="A795" t="s">
        <v>1483</v>
      </c>
      <c r="B795" t="s">
        <v>1863</v>
      </c>
      <c r="C795">
        <v>32</v>
      </c>
      <c r="D795" t="s">
        <v>41</v>
      </c>
      <c r="E795" t="s">
        <v>56</v>
      </c>
      <c r="F795" t="s">
        <v>62</v>
      </c>
      <c r="G795" t="s">
        <v>63</v>
      </c>
      <c r="H795" t="s">
        <v>64</v>
      </c>
      <c r="I795" t="s">
        <v>27</v>
      </c>
      <c r="J795" t="s">
        <v>1484</v>
      </c>
      <c r="K795">
        <v>2024</v>
      </c>
      <c r="L795">
        <v>0</v>
      </c>
      <c r="M795">
        <v>5</v>
      </c>
      <c r="N795" t="s">
        <v>98</v>
      </c>
      <c r="O795">
        <v>3</v>
      </c>
      <c r="P795">
        <v>3</v>
      </c>
      <c r="Q795" t="s">
        <v>30</v>
      </c>
      <c r="R795">
        <v>23</v>
      </c>
      <c r="S795">
        <v>48</v>
      </c>
      <c r="T795">
        <v>53888</v>
      </c>
      <c r="U795">
        <v>4500</v>
      </c>
      <c r="V795">
        <v>4.8</v>
      </c>
      <c r="W795" t="s">
        <v>31</v>
      </c>
    </row>
    <row r="796" spans="1:23" x14ac:dyDescent="0.3">
      <c r="A796" t="s">
        <v>1485</v>
      </c>
      <c r="B796" t="s">
        <v>1928</v>
      </c>
      <c r="C796">
        <v>46</v>
      </c>
      <c r="D796" t="s">
        <v>33</v>
      </c>
      <c r="E796" t="s">
        <v>34</v>
      </c>
      <c r="F796" t="s">
        <v>75</v>
      </c>
      <c r="G796" t="s">
        <v>43</v>
      </c>
      <c r="H796" t="s">
        <v>72</v>
      </c>
      <c r="I796" t="s">
        <v>27</v>
      </c>
      <c r="J796" t="s">
        <v>557</v>
      </c>
      <c r="K796">
        <v>2021</v>
      </c>
      <c r="L796">
        <v>3</v>
      </c>
      <c r="M796">
        <v>19</v>
      </c>
      <c r="N796" t="s">
        <v>98</v>
      </c>
      <c r="O796">
        <v>3</v>
      </c>
      <c r="P796">
        <v>5</v>
      </c>
      <c r="Q796" t="s">
        <v>30</v>
      </c>
      <c r="R796">
        <v>10</v>
      </c>
      <c r="S796">
        <v>69</v>
      </c>
      <c r="T796">
        <v>135084</v>
      </c>
      <c r="U796">
        <v>10500</v>
      </c>
      <c r="V796">
        <v>5.7</v>
      </c>
      <c r="W796" t="s">
        <v>31</v>
      </c>
    </row>
    <row r="797" spans="1:23" x14ac:dyDescent="0.3">
      <c r="A797" t="s">
        <v>1486</v>
      </c>
      <c r="B797" t="s">
        <v>1992</v>
      </c>
      <c r="C797">
        <v>27</v>
      </c>
      <c r="D797" t="s">
        <v>41</v>
      </c>
      <c r="E797" t="s">
        <v>56</v>
      </c>
      <c r="F797" t="s">
        <v>35</v>
      </c>
      <c r="G797" t="s">
        <v>52</v>
      </c>
      <c r="H797" t="s">
        <v>208</v>
      </c>
      <c r="I797" t="s">
        <v>27</v>
      </c>
      <c r="J797" t="s">
        <v>1487</v>
      </c>
      <c r="K797">
        <v>2022</v>
      </c>
      <c r="L797">
        <v>2</v>
      </c>
      <c r="M797">
        <v>1</v>
      </c>
      <c r="N797" t="s">
        <v>85</v>
      </c>
      <c r="O797">
        <v>5</v>
      </c>
      <c r="P797">
        <v>4</v>
      </c>
      <c r="Q797" t="s">
        <v>31</v>
      </c>
      <c r="R797">
        <v>8</v>
      </c>
      <c r="S797">
        <v>7</v>
      </c>
      <c r="T797">
        <v>55234</v>
      </c>
      <c r="U797">
        <v>13200</v>
      </c>
      <c r="V797">
        <v>14.2</v>
      </c>
      <c r="W797" t="s">
        <v>31</v>
      </c>
    </row>
    <row r="798" spans="1:23" x14ac:dyDescent="0.3">
      <c r="A798" t="s">
        <v>1488</v>
      </c>
      <c r="B798" t="s">
        <v>1829</v>
      </c>
      <c r="C798">
        <v>41</v>
      </c>
      <c r="D798" t="s">
        <v>33</v>
      </c>
      <c r="E798" t="s">
        <v>34</v>
      </c>
      <c r="F798" t="s">
        <v>47</v>
      </c>
      <c r="G798" t="s">
        <v>43</v>
      </c>
      <c r="H798" t="s">
        <v>44</v>
      </c>
      <c r="I798" t="s">
        <v>65</v>
      </c>
      <c r="J798" t="s">
        <v>1489</v>
      </c>
      <c r="K798">
        <v>2021</v>
      </c>
      <c r="L798">
        <v>3</v>
      </c>
      <c r="M798">
        <v>19</v>
      </c>
      <c r="N798" t="s">
        <v>85</v>
      </c>
      <c r="O798">
        <v>2</v>
      </c>
      <c r="P798">
        <v>1</v>
      </c>
      <c r="Q798" t="s">
        <v>31</v>
      </c>
      <c r="R798">
        <v>7</v>
      </c>
      <c r="S798">
        <v>36</v>
      </c>
      <c r="T798">
        <v>87037</v>
      </c>
      <c r="U798">
        <v>15900</v>
      </c>
      <c r="V798">
        <v>10.8</v>
      </c>
      <c r="W798" t="s">
        <v>31</v>
      </c>
    </row>
    <row r="799" spans="1:23" x14ac:dyDescent="0.3">
      <c r="A799" t="s">
        <v>1490</v>
      </c>
      <c r="B799" t="s">
        <v>2079</v>
      </c>
      <c r="C799">
        <v>48</v>
      </c>
      <c r="D799" t="s">
        <v>41</v>
      </c>
      <c r="E799" t="s">
        <v>34</v>
      </c>
      <c r="F799" t="s">
        <v>47</v>
      </c>
      <c r="G799" t="s">
        <v>117</v>
      </c>
      <c r="H799" t="s">
        <v>298</v>
      </c>
      <c r="I799" t="s">
        <v>27</v>
      </c>
      <c r="J799" t="s">
        <v>892</v>
      </c>
      <c r="K799">
        <v>2023</v>
      </c>
      <c r="L799">
        <v>1</v>
      </c>
      <c r="M799">
        <v>19</v>
      </c>
      <c r="N799" t="s">
        <v>29</v>
      </c>
      <c r="O799">
        <v>2</v>
      </c>
      <c r="P799">
        <v>2</v>
      </c>
      <c r="Q799" t="s">
        <v>31</v>
      </c>
      <c r="R799">
        <v>8</v>
      </c>
      <c r="S799">
        <v>61</v>
      </c>
      <c r="T799">
        <v>75202</v>
      </c>
      <c r="U799">
        <v>8600</v>
      </c>
      <c r="V799">
        <v>10.1</v>
      </c>
      <c r="W799" t="s">
        <v>31</v>
      </c>
    </row>
    <row r="800" spans="1:23" x14ac:dyDescent="0.3">
      <c r="A800" t="s">
        <v>1491</v>
      </c>
      <c r="B800" t="s">
        <v>2192</v>
      </c>
      <c r="C800">
        <v>26</v>
      </c>
      <c r="D800" t="s">
        <v>41</v>
      </c>
      <c r="E800" t="s">
        <v>71</v>
      </c>
      <c r="F800" t="s">
        <v>153</v>
      </c>
      <c r="G800" t="s">
        <v>82</v>
      </c>
      <c r="H800" t="s">
        <v>286</v>
      </c>
      <c r="I800" t="s">
        <v>27</v>
      </c>
      <c r="J800" t="s">
        <v>640</v>
      </c>
      <c r="K800">
        <v>2024</v>
      </c>
      <c r="L800">
        <v>0</v>
      </c>
      <c r="M800">
        <v>4</v>
      </c>
      <c r="N800" t="s">
        <v>98</v>
      </c>
      <c r="O800">
        <v>1</v>
      </c>
      <c r="P800">
        <v>4</v>
      </c>
      <c r="Q800" t="s">
        <v>31</v>
      </c>
      <c r="R800">
        <v>12</v>
      </c>
      <c r="S800">
        <v>35</v>
      </c>
      <c r="T800">
        <v>52766</v>
      </c>
      <c r="U800">
        <v>3700</v>
      </c>
      <c r="V800">
        <v>3.5</v>
      </c>
      <c r="W800" t="s">
        <v>30</v>
      </c>
    </row>
    <row r="801" spans="1:23" x14ac:dyDescent="0.3">
      <c r="A801" t="s">
        <v>1492</v>
      </c>
      <c r="B801" t="s">
        <v>1809</v>
      </c>
      <c r="C801">
        <v>40</v>
      </c>
      <c r="D801" t="s">
        <v>41</v>
      </c>
      <c r="E801" t="s">
        <v>61</v>
      </c>
      <c r="F801" t="s">
        <v>24</v>
      </c>
      <c r="G801" t="s">
        <v>52</v>
      </c>
      <c r="H801" t="s">
        <v>132</v>
      </c>
      <c r="I801" t="s">
        <v>27</v>
      </c>
      <c r="J801" t="s">
        <v>440</v>
      </c>
      <c r="K801">
        <v>2021</v>
      </c>
      <c r="L801">
        <v>3</v>
      </c>
      <c r="M801">
        <v>17</v>
      </c>
      <c r="N801" t="s">
        <v>29</v>
      </c>
      <c r="O801">
        <v>4</v>
      </c>
      <c r="P801">
        <v>1</v>
      </c>
      <c r="Q801" t="s">
        <v>30</v>
      </c>
      <c r="R801">
        <v>6</v>
      </c>
      <c r="S801">
        <v>65</v>
      </c>
      <c r="T801">
        <v>88921</v>
      </c>
      <c r="U801">
        <v>9000</v>
      </c>
      <c r="V801">
        <v>10.1</v>
      </c>
      <c r="W801" t="s">
        <v>31</v>
      </c>
    </row>
    <row r="802" spans="1:23" x14ac:dyDescent="0.3">
      <c r="A802" t="s">
        <v>1493</v>
      </c>
      <c r="B802" t="s">
        <v>2193</v>
      </c>
      <c r="C802">
        <v>35</v>
      </c>
      <c r="D802" t="s">
        <v>41</v>
      </c>
      <c r="E802" t="s">
        <v>34</v>
      </c>
      <c r="F802" t="s">
        <v>75</v>
      </c>
      <c r="G802" t="s">
        <v>43</v>
      </c>
      <c r="H802" t="s">
        <v>72</v>
      </c>
      <c r="I802" t="s">
        <v>79</v>
      </c>
      <c r="J802" t="s">
        <v>1494</v>
      </c>
      <c r="K802">
        <v>2021</v>
      </c>
      <c r="L802">
        <v>3</v>
      </c>
      <c r="M802">
        <v>8</v>
      </c>
      <c r="N802" t="s">
        <v>98</v>
      </c>
      <c r="O802">
        <v>2</v>
      </c>
      <c r="P802">
        <v>1</v>
      </c>
      <c r="Q802" t="s">
        <v>31</v>
      </c>
      <c r="R802">
        <v>22</v>
      </c>
      <c r="S802">
        <v>25</v>
      </c>
      <c r="T802">
        <v>76265</v>
      </c>
      <c r="U802">
        <v>4900</v>
      </c>
      <c r="V802">
        <v>14.6</v>
      </c>
      <c r="W802" t="s">
        <v>31</v>
      </c>
    </row>
    <row r="803" spans="1:23" x14ac:dyDescent="0.3">
      <c r="A803" t="s">
        <v>1495</v>
      </c>
      <c r="B803" t="s">
        <v>1816</v>
      </c>
      <c r="C803">
        <v>44</v>
      </c>
      <c r="D803" t="s">
        <v>41</v>
      </c>
      <c r="E803" t="s">
        <v>34</v>
      </c>
      <c r="F803" t="s">
        <v>75</v>
      </c>
      <c r="G803" t="s">
        <v>43</v>
      </c>
      <c r="H803" t="s">
        <v>72</v>
      </c>
      <c r="I803" t="s">
        <v>27</v>
      </c>
      <c r="J803" t="s">
        <v>1496</v>
      </c>
      <c r="K803">
        <v>2023</v>
      </c>
      <c r="L803">
        <v>1</v>
      </c>
      <c r="M803">
        <v>17</v>
      </c>
      <c r="N803" t="s">
        <v>29</v>
      </c>
      <c r="O803">
        <v>2</v>
      </c>
      <c r="P803">
        <v>4</v>
      </c>
      <c r="Q803" t="s">
        <v>31</v>
      </c>
      <c r="R803">
        <v>8</v>
      </c>
      <c r="S803">
        <v>55</v>
      </c>
      <c r="T803">
        <v>126293</v>
      </c>
      <c r="U803">
        <v>15100</v>
      </c>
      <c r="V803">
        <v>5.5</v>
      </c>
      <c r="W803" t="s">
        <v>31</v>
      </c>
    </row>
    <row r="804" spans="1:23" x14ac:dyDescent="0.3">
      <c r="A804" t="s">
        <v>1497</v>
      </c>
      <c r="B804" t="s">
        <v>2042</v>
      </c>
      <c r="C804">
        <v>42</v>
      </c>
      <c r="D804" t="s">
        <v>41</v>
      </c>
      <c r="E804" t="s">
        <v>61</v>
      </c>
      <c r="F804" t="s">
        <v>24</v>
      </c>
      <c r="G804" t="s">
        <v>100</v>
      </c>
      <c r="H804" t="s">
        <v>129</v>
      </c>
      <c r="I804" t="s">
        <v>27</v>
      </c>
      <c r="J804" t="s">
        <v>644</v>
      </c>
      <c r="K804">
        <v>2023</v>
      </c>
      <c r="L804">
        <v>1</v>
      </c>
      <c r="M804">
        <v>17</v>
      </c>
      <c r="N804" t="s">
        <v>85</v>
      </c>
      <c r="O804">
        <v>1</v>
      </c>
      <c r="P804">
        <v>1</v>
      </c>
      <c r="Q804" t="s">
        <v>30</v>
      </c>
      <c r="R804">
        <v>3</v>
      </c>
      <c r="S804">
        <v>6</v>
      </c>
      <c r="T804">
        <v>71129</v>
      </c>
      <c r="U804">
        <v>11700</v>
      </c>
      <c r="V804">
        <v>6.2</v>
      </c>
      <c r="W804" t="s">
        <v>31</v>
      </c>
    </row>
    <row r="805" spans="1:23" x14ac:dyDescent="0.3">
      <c r="A805" t="s">
        <v>1498</v>
      </c>
      <c r="B805" t="s">
        <v>1908</v>
      </c>
      <c r="C805">
        <v>27</v>
      </c>
      <c r="D805" t="s">
        <v>33</v>
      </c>
      <c r="E805" t="s">
        <v>71</v>
      </c>
      <c r="F805" t="s">
        <v>47</v>
      </c>
      <c r="G805" t="s">
        <v>117</v>
      </c>
      <c r="H805" t="s">
        <v>118</v>
      </c>
      <c r="I805" t="s">
        <v>27</v>
      </c>
      <c r="J805" t="s">
        <v>806</v>
      </c>
      <c r="K805">
        <v>2021</v>
      </c>
      <c r="L805">
        <v>3</v>
      </c>
      <c r="M805">
        <v>1</v>
      </c>
      <c r="N805" t="s">
        <v>98</v>
      </c>
      <c r="O805">
        <v>3</v>
      </c>
      <c r="P805">
        <v>2</v>
      </c>
      <c r="Q805" t="s">
        <v>31</v>
      </c>
      <c r="R805">
        <v>21</v>
      </c>
      <c r="S805">
        <v>8</v>
      </c>
      <c r="T805">
        <v>90643</v>
      </c>
      <c r="U805">
        <v>6500</v>
      </c>
      <c r="V805">
        <v>12.8</v>
      </c>
      <c r="W805" t="s">
        <v>31</v>
      </c>
    </row>
    <row r="806" spans="1:23" x14ac:dyDescent="0.3">
      <c r="A806" t="s">
        <v>1499</v>
      </c>
      <c r="B806" t="s">
        <v>1957</v>
      </c>
      <c r="C806">
        <v>49</v>
      </c>
      <c r="D806" t="s">
        <v>33</v>
      </c>
      <c r="E806" t="s">
        <v>56</v>
      </c>
      <c r="F806" t="s">
        <v>51</v>
      </c>
      <c r="G806" t="s">
        <v>82</v>
      </c>
      <c r="H806" t="s">
        <v>138</v>
      </c>
      <c r="I806" t="s">
        <v>27</v>
      </c>
      <c r="J806" t="s">
        <v>1324</v>
      </c>
      <c r="K806">
        <v>2021</v>
      </c>
      <c r="L806">
        <v>3</v>
      </c>
      <c r="M806">
        <v>20</v>
      </c>
      <c r="N806" t="s">
        <v>98</v>
      </c>
      <c r="O806">
        <v>1</v>
      </c>
      <c r="P806">
        <v>4</v>
      </c>
      <c r="Q806" t="s">
        <v>30</v>
      </c>
      <c r="R806">
        <v>12</v>
      </c>
      <c r="S806">
        <v>77</v>
      </c>
      <c r="T806">
        <v>70886</v>
      </c>
      <c r="U806">
        <v>5000</v>
      </c>
      <c r="V806">
        <v>8.9</v>
      </c>
      <c r="W806" t="s">
        <v>31</v>
      </c>
    </row>
    <row r="807" spans="1:23" x14ac:dyDescent="0.3">
      <c r="A807" t="s">
        <v>1500</v>
      </c>
      <c r="B807" t="s">
        <v>1881</v>
      </c>
      <c r="C807">
        <v>42</v>
      </c>
      <c r="D807" t="s">
        <v>41</v>
      </c>
      <c r="E807" t="s">
        <v>23</v>
      </c>
      <c r="F807" t="s">
        <v>35</v>
      </c>
      <c r="G807" t="s">
        <v>36</v>
      </c>
      <c r="H807" t="s">
        <v>68</v>
      </c>
      <c r="I807" t="s">
        <v>27</v>
      </c>
      <c r="J807" t="s">
        <v>1030</v>
      </c>
      <c r="K807">
        <v>2021</v>
      </c>
      <c r="L807">
        <v>3</v>
      </c>
      <c r="M807">
        <v>16</v>
      </c>
      <c r="N807" t="s">
        <v>29</v>
      </c>
      <c r="O807">
        <v>5</v>
      </c>
      <c r="P807">
        <v>5</v>
      </c>
      <c r="Q807" t="s">
        <v>31</v>
      </c>
      <c r="R807">
        <v>19</v>
      </c>
      <c r="S807">
        <v>37</v>
      </c>
      <c r="T807">
        <v>76786</v>
      </c>
      <c r="U807">
        <v>8400</v>
      </c>
      <c r="V807">
        <v>5.8</v>
      </c>
      <c r="W807" t="s">
        <v>31</v>
      </c>
    </row>
    <row r="808" spans="1:23" x14ac:dyDescent="0.3">
      <c r="A808" t="s">
        <v>1501</v>
      </c>
      <c r="B808" t="s">
        <v>2194</v>
      </c>
      <c r="C808">
        <v>33</v>
      </c>
      <c r="D808" t="s">
        <v>22</v>
      </c>
      <c r="E808" t="s">
        <v>56</v>
      </c>
      <c r="F808" t="s">
        <v>35</v>
      </c>
      <c r="G808" t="s">
        <v>82</v>
      </c>
      <c r="H808" t="s">
        <v>286</v>
      </c>
      <c r="I808" t="s">
        <v>27</v>
      </c>
      <c r="J808" t="s">
        <v>1502</v>
      </c>
      <c r="K808">
        <v>2021</v>
      </c>
      <c r="L808">
        <v>3</v>
      </c>
      <c r="M808">
        <v>9</v>
      </c>
      <c r="N808" t="s">
        <v>85</v>
      </c>
      <c r="O808">
        <v>4</v>
      </c>
      <c r="P808">
        <v>1</v>
      </c>
      <c r="Q808" t="s">
        <v>31</v>
      </c>
      <c r="R808">
        <v>5</v>
      </c>
      <c r="S808">
        <v>3</v>
      </c>
      <c r="T808">
        <v>88274</v>
      </c>
      <c r="U808">
        <v>15600</v>
      </c>
      <c r="V808">
        <v>3.6</v>
      </c>
      <c r="W808" t="s">
        <v>31</v>
      </c>
    </row>
    <row r="809" spans="1:23" x14ac:dyDescent="0.3">
      <c r="A809" t="s">
        <v>1503</v>
      </c>
      <c r="B809" t="s">
        <v>1935</v>
      </c>
      <c r="C809">
        <v>50</v>
      </c>
      <c r="D809" t="s">
        <v>41</v>
      </c>
      <c r="E809" t="s">
        <v>71</v>
      </c>
      <c r="F809" t="s">
        <v>42</v>
      </c>
      <c r="G809" t="s">
        <v>43</v>
      </c>
      <c r="H809" t="s">
        <v>96</v>
      </c>
      <c r="I809" t="s">
        <v>27</v>
      </c>
      <c r="J809" t="s">
        <v>291</v>
      </c>
      <c r="K809">
        <v>2021</v>
      </c>
      <c r="L809">
        <v>3</v>
      </c>
      <c r="M809">
        <v>20</v>
      </c>
      <c r="N809" t="s">
        <v>39</v>
      </c>
      <c r="O809">
        <v>3</v>
      </c>
      <c r="P809">
        <v>5</v>
      </c>
      <c r="Q809" t="s">
        <v>31</v>
      </c>
      <c r="R809">
        <v>0</v>
      </c>
      <c r="S809">
        <v>9</v>
      </c>
      <c r="T809">
        <v>128796</v>
      </c>
      <c r="U809">
        <v>4500</v>
      </c>
      <c r="V809">
        <v>4</v>
      </c>
      <c r="W809" t="s">
        <v>30</v>
      </c>
    </row>
    <row r="810" spans="1:23" x14ac:dyDescent="0.3">
      <c r="A810" t="s">
        <v>1504</v>
      </c>
      <c r="B810" t="s">
        <v>2182</v>
      </c>
      <c r="C810">
        <v>33</v>
      </c>
      <c r="D810" t="s">
        <v>33</v>
      </c>
      <c r="E810" t="s">
        <v>56</v>
      </c>
      <c r="F810" t="s">
        <v>24</v>
      </c>
      <c r="G810" t="s">
        <v>100</v>
      </c>
      <c r="H810" t="s">
        <v>129</v>
      </c>
      <c r="I810" t="s">
        <v>27</v>
      </c>
      <c r="J810" t="s">
        <v>271</v>
      </c>
      <c r="K810">
        <v>2022</v>
      </c>
      <c r="L810">
        <v>2</v>
      </c>
      <c r="M810">
        <v>4</v>
      </c>
      <c r="N810" t="s">
        <v>29</v>
      </c>
      <c r="O810">
        <v>1</v>
      </c>
      <c r="P810">
        <v>5</v>
      </c>
      <c r="Q810" t="s">
        <v>31</v>
      </c>
      <c r="R810">
        <v>5</v>
      </c>
      <c r="S810">
        <v>7</v>
      </c>
      <c r="T810">
        <v>63334</v>
      </c>
      <c r="U810">
        <v>8300</v>
      </c>
      <c r="V810">
        <v>5.8</v>
      </c>
      <c r="W810" t="s">
        <v>31</v>
      </c>
    </row>
    <row r="811" spans="1:23" x14ac:dyDescent="0.3">
      <c r="A811" t="s">
        <v>1505</v>
      </c>
      <c r="B811" t="s">
        <v>2053</v>
      </c>
      <c r="C811">
        <v>27</v>
      </c>
      <c r="D811" t="s">
        <v>41</v>
      </c>
      <c r="E811" t="s">
        <v>61</v>
      </c>
      <c r="F811" t="s">
        <v>35</v>
      </c>
      <c r="G811" t="s">
        <v>82</v>
      </c>
      <c r="H811" t="s">
        <v>286</v>
      </c>
      <c r="I811" t="s">
        <v>27</v>
      </c>
      <c r="J811" t="s">
        <v>1506</v>
      </c>
      <c r="K811">
        <v>2024</v>
      </c>
      <c r="L811">
        <v>0</v>
      </c>
      <c r="M811">
        <v>3</v>
      </c>
      <c r="N811" t="s">
        <v>29</v>
      </c>
      <c r="O811">
        <v>4</v>
      </c>
      <c r="P811">
        <v>5</v>
      </c>
      <c r="Q811" t="s">
        <v>31</v>
      </c>
      <c r="R811">
        <v>8</v>
      </c>
      <c r="S811">
        <v>21</v>
      </c>
      <c r="T811">
        <v>69920</v>
      </c>
      <c r="U811">
        <v>7700</v>
      </c>
      <c r="V811">
        <v>7.8</v>
      </c>
      <c r="W811" t="s">
        <v>31</v>
      </c>
    </row>
    <row r="812" spans="1:23" x14ac:dyDescent="0.3">
      <c r="A812" t="s">
        <v>1507</v>
      </c>
      <c r="B812" t="s">
        <v>2153</v>
      </c>
      <c r="C812">
        <v>42</v>
      </c>
      <c r="D812" t="s">
        <v>33</v>
      </c>
      <c r="E812" t="s">
        <v>71</v>
      </c>
      <c r="F812" t="s">
        <v>57</v>
      </c>
      <c r="G812" t="s">
        <v>82</v>
      </c>
      <c r="H812" t="s">
        <v>323</v>
      </c>
      <c r="I812" t="s">
        <v>27</v>
      </c>
      <c r="J812" t="s">
        <v>1259</v>
      </c>
      <c r="K812">
        <v>2024</v>
      </c>
      <c r="L812">
        <v>0</v>
      </c>
      <c r="M812">
        <v>13</v>
      </c>
      <c r="N812" t="s">
        <v>29</v>
      </c>
      <c r="O812">
        <v>4</v>
      </c>
      <c r="P812">
        <v>1</v>
      </c>
      <c r="Q812" t="s">
        <v>31</v>
      </c>
      <c r="R812">
        <v>11</v>
      </c>
      <c r="S812">
        <v>54</v>
      </c>
      <c r="T812">
        <v>48278</v>
      </c>
      <c r="U812">
        <v>6000</v>
      </c>
      <c r="V812">
        <v>5.8</v>
      </c>
      <c r="W812" t="s">
        <v>31</v>
      </c>
    </row>
    <row r="813" spans="1:23" x14ac:dyDescent="0.3">
      <c r="A813" t="s">
        <v>1508</v>
      </c>
      <c r="B813" t="s">
        <v>2057</v>
      </c>
      <c r="C813">
        <v>40</v>
      </c>
      <c r="D813" t="s">
        <v>41</v>
      </c>
      <c r="E813" t="s">
        <v>71</v>
      </c>
      <c r="F813" t="s">
        <v>153</v>
      </c>
      <c r="G813" t="s">
        <v>43</v>
      </c>
      <c r="H813" t="s">
        <v>72</v>
      </c>
      <c r="I813" t="s">
        <v>27</v>
      </c>
      <c r="J813" t="s">
        <v>1509</v>
      </c>
      <c r="K813">
        <v>2022</v>
      </c>
      <c r="L813">
        <v>2</v>
      </c>
      <c r="M813">
        <v>10</v>
      </c>
      <c r="N813" t="s">
        <v>98</v>
      </c>
      <c r="O813">
        <v>1</v>
      </c>
      <c r="P813">
        <v>5</v>
      </c>
      <c r="Q813" t="s">
        <v>31</v>
      </c>
      <c r="R813">
        <v>13</v>
      </c>
      <c r="S813">
        <v>36</v>
      </c>
      <c r="T813">
        <v>113687</v>
      </c>
      <c r="U813">
        <v>7500</v>
      </c>
      <c r="V813">
        <v>12.3</v>
      </c>
      <c r="W813" t="s">
        <v>31</v>
      </c>
    </row>
    <row r="814" spans="1:23" x14ac:dyDescent="0.3">
      <c r="A814" t="s">
        <v>1510</v>
      </c>
      <c r="B814" t="s">
        <v>1993</v>
      </c>
      <c r="C814">
        <v>27</v>
      </c>
      <c r="D814" t="s">
        <v>41</v>
      </c>
      <c r="E814" t="s">
        <v>71</v>
      </c>
      <c r="F814" t="s">
        <v>35</v>
      </c>
      <c r="G814" t="s">
        <v>36</v>
      </c>
      <c r="H814" t="s">
        <v>89</v>
      </c>
      <c r="I814" t="s">
        <v>65</v>
      </c>
      <c r="J814" t="s">
        <v>80</v>
      </c>
      <c r="K814">
        <v>2023</v>
      </c>
      <c r="L814">
        <v>1</v>
      </c>
      <c r="M814">
        <v>1</v>
      </c>
      <c r="N814" t="s">
        <v>85</v>
      </c>
      <c r="O814">
        <v>3</v>
      </c>
      <c r="P814">
        <v>5</v>
      </c>
      <c r="Q814" t="s">
        <v>31</v>
      </c>
      <c r="R814">
        <v>24</v>
      </c>
      <c r="S814">
        <v>31</v>
      </c>
      <c r="T814">
        <v>65473</v>
      </c>
      <c r="U814">
        <v>12800</v>
      </c>
      <c r="V814">
        <v>4.8</v>
      </c>
      <c r="W814" t="s">
        <v>31</v>
      </c>
    </row>
    <row r="815" spans="1:23" x14ac:dyDescent="0.3">
      <c r="A815" t="s">
        <v>1511</v>
      </c>
      <c r="B815" t="s">
        <v>2123</v>
      </c>
      <c r="C815">
        <v>34</v>
      </c>
      <c r="D815" t="s">
        <v>41</v>
      </c>
      <c r="E815" t="s">
        <v>71</v>
      </c>
      <c r="F815" t="s">
        <v>153</v>
      </c>
      <c r="G815" t="s">
        <v>25</v>
      </c>
      <c r="H815" t="s">
        <v>110</v>
      </c>
      <c r="I815" t="s">
        <v>27</v>
      </c>
      <c r="J815" t="s">
        <v>302</v>
      </c>
      <c r="K815">
        <v>2021</v>
      </c>
      <c r="L815">
        <v>3</v>
      </c>
      <c r="M815">
        <v>8</v>
      </c>
      <c r="N815" t="s">
        <v>98</v>
      </c>
      <c r="O815">
        <v>5</v>
      </c>
      <c r="P815">
        <v>4</v>
      </c>
      <c r="Q815" t="s">
        <v>31</v>
      </c>
      <c r="R815">
        <v>19</v>
      </c>
      <c r="S815">
        <v>73</v>
      </c>
      <c r="T815">
        <v>89911</v>
      </c>
      <c r="U815">
        <v>5600</v>
      </c>
      <c r="V815">
        <v>3.5</v>
      </c>
      <c r="W815" t="s">
        <v>31</v>
      </c>
    </row>
    <row r="816" spans="1:23" x14ac:dyDescent="0.3">
      <c r="A816" t="s">
        <v>1512</v>
      </c>
      <c r="B816" t="s">
        <v>1850</v>
      </c>
      <c r="C816">
        <v>28</v>
      </c>
      <c r="D816" t="s">
        <v>41</v>
      </c>
      <c r="E816" t="s">
        <v>23</v>
      </c>
      <c r="F816" t="s">
        <v>62</v>
      </c>
      <c r="G816" t="s">
        <v>100</v>
      </c>
      <c r="H816" t="s">
        <v>150</v>
      </c>
      <c r="I816" t="s">
        <v>27</v>
      </c>
      <c r="J816" t="s">
        <v>607</v>
      </c>
      <c r="K816">
        <v>2021</v>
      </c>
      <c r="L816">
        <v>3</v>
      </c>
      <c r="M816">
        <v>3</v>
      </c>
      <c r="N816" t="s">
        <v>29</v>
      </c>
      <c r="O816">
        <v>2</v>
      </c>
      <c r="P816">
        <v>2</v>
      </c>
      <c r="Q816" t="s">
        <v>31</v>
      </c>
      <c r="R816">
        <v>22</v>
      </c>
      <c r="S816">
        <v>52</v>
      </c>
      <c r="T816">
        <v>47402</v>
      </c>
      <c r="U816">
        <v>6300</v>
      </c>
      <c r="V816">
        <v>11.7</v>
      </c>
      <c r="W816" t="s">
        <v>31</v>
      </c>
    </row>
    <row r="817" spans="1:23" x14ac:dyDescent="0.3">
      <c r="A817" t="s">
        <v>1513</v>
      </c>
      <c r="B817" t="s">
        <v>1890</v>
      </c>
      <c r="C817">
        <v>31</v>
      </c>
      <c r="D817" t="s">
        <v>41</v>
      </c>
      <c r="E817" t="s">
        <v>34</v>
      </c>
      <c r="F817" t="s">
        <v>35</v>
      </c>
      <c r="G817" t="s">
        <v>43</v>
      </c>
      <c r="H817" t="s">
        <v>72</v>
      </c>
      <c r="I817" t="s">
        <v>27</v>
      </c>
      <c r="J817" t="s">
        <v>677</v>
      </c>
      <c r="K817">
        <v>2024</v>
      </c>
      <c r="L817">
        <v>0</v>
      </c>
      <c r="M817">
        <v>6</v>
      </c>
      <c r="N817" t="s">
        <v>29</v>
      </c>
      <c r="O817">
        <v>3</v>
      </c>
      <c r="P817">
        <v>3</v>
      </c>
      <c r="Q817" t="s">
        <v>31</v>
      </c>
      <c r="R817">
        <v>15</v>
      </c>
      <c r="S817">
        <v>18</v>
      </c>
      <c r="T817">
        <v>103359</v>
      </c>
      <c r="U817">
        <v>12500</v>
      </c>
      <c r="V817">
        <v>7.8</v>
      </c>
      <c r="W817" t="s">
        <v>31</v>
      </c>
    </row>
    <row r="818" spans="1:23" x14ac:dyDescent="0.3">
      <c r="A818" t="s">
        <v>1514</v>
      </c>
      <c r="B818" t="s">
        <v>1943</v>
      </c>
      <c r="C818">
        <v>33</v>
      </c>
      <c r="D818" t="s">
        <v>41</v>
      </c>
      <c r="E818" t="s">
        <v>34</v>
      </c>
      <c r="F818" t="s">
        <v>57</v>
      </c>
      <c r="G818" t="s">
        <v>52</v>
      </c>
      <c r="H818" t="s">
        <v>208</v>
      </c>
      <c r="I818" t="s">
        <v>27</v>
      </c>
      <c r="J818" t="s">
        <v>1515</v>
      </c>
      <c r="K818">
        <v>2023</v>
      </c>
      <c r="L818">
        <v>1</v>
      </c>
      <c r="M818">
        <v>7</v>
      </c>
      <c r="N818" t="s">
        <v>29</v>
      </c>
      <c r="O818">
        <v>2</v>
      </c>
      <c r="P818">
        <v>3</v>
      </c>
      <c r="Q818" t="s">
        <v>31</v>
      </c>
      <c r="R818">
        <v>19</v>
      </c>
      <c r="S818">
        <v>68</v>
      </c>
      <c r="T818">
        <v>82173</v>
      </c>
      <c r="U818">
        <v>11200</v>
      </c>
      <c r="V818">
        <v>8.6</v>
      </c>
      <c r="W818" t="s">
        <v>31</v>
      </c>
    </row>
    <row r="819" spans="1:23" x14ac:dyDescent="0.3">
      <c r="A819" t="s">
        <v>1516</v>
      </c>
      <c r="B819" t="s">
        <v>2071</v>
      </c>
      <c r="C819">
        <v>42</v>
      </c>
      <c r="D819" t="s">
        <v>33</v>
      </c>
      <c r="E819" t="s">
        <v>34</v>
      </c>
      <c r="F819" t="s">
        <v>24</v>
      </c>
      <c r="G819" t="s">
        <v>36</v>
      </c>
      <c r="H819" t="s">
        <v>76</v>
      </c>
      <c r="I819" t="s">
        <v>27</v>
      </c>
      <c r="J819" t="s">
        <v>1517</v>
      </c>
      <c r="K819">
        <v>2021</v>
      </c>
      <c r="L819">
        <v>3</v>
      </c>
      <c r="M819">
        <v>18</v>
      </c>
      <c r="N819" t="s">
        <v>29</v>
      </c>
      <c r="O819">
        <v>4</v>
      </c>
      <c r="P819">
        <v>4</v>
      </c>
      <c r="Q819" t="s">
        <v>30</v>
      </c>
      <c r="R819">
        <v>8</v>
      </c>
      <c r="S819">
        <v>69</v>
      </c>
      <c r="T819">
        <v>50217</v>
      </c>
      <c r="U819">
        <v>5800</v>
      </c>
      <c r="V819">
        <v>13.2</v>
      </c>
      <c r="W819" t="s">
        <v>31</v>
      </c>
    </row>
    <row r="820" spans="1:23" x14ac:dyDescent="0.3">
      <c r="A820" t="s">
        <v>1518</v>
      </c>
      <c r="B820" t="s">
        <v>1952</v>
      </c>
      <c r="C820">
        <v>43</v>
      </c>
      <c r="D820" t="s">
        <v>33</v>
      </c>
      <c r="E820" t="s">
        <v>34</v>
      </c>
      <c r="F820" t="s">
        <v>47</v>
      </c>
      <c r="G820" t="s">
        <v>52</v>
      </c>
      <c r="H820" t="s">
        <v>320</v>
      </c>
      <c r="I820" t="s">
        <v>65</v>
      </c>
      <c r="J820" t="s">
        <v>1519</v>
      </c>
      <c r="K820">
        <v>2022</v>
      </c>
      <c r="L820">
        <v>2</v>
      </c>
      <c r="M820">
        <v>13</v>
      </c>
      <c r="N820" t="s">
        <v>29</v>
      </c>
      <c r="O820">
        <v>1</v>
      </c>
      <c r="P820">
        <v>1</v>
      </c>
      <c r="Q820" t="s">
        <v>31</v>
      </c>
      <c r="R820">
        <v>3</v>
      </c>
      <c r="S820">
        <v>78</v>
      </c>
      <c r="T820">
        <v>78208</v>
      </c>
      <c r="U820">
        <v>8700</v>
      </c>
      <c r="V820">
        <v>13.7</v>
      </c>
      <c r="W820" t="s">
        <v>30</v>
      </c>
    </row>
    <row r="821" spans="1:23" x14ac:dyDescent="0.3">
      <c r="A821" t="s">
        <v>1520</v>
      </c>
      <c r="B821" t="s">
        <v>1977</v>
      </c>
      <c r="C821">
        <v>43</v>
      </c>
      <c r="D821" t="s">
        <v>33</v>
      </c>
      <c r="E821" t="s">
        <v>34</v>
      </c>
      <c r="F821" t="s">
        <v>137</v>
      </c>
      <c r="G821" t="s">
        <v>25</v>
      </c>
      <c r="H821" t="s">
        <v>205</v>
      </c>
      <c r="I821" t="s">
        <v>27</v>
      </c>
      <c r="J821" t="s">
        <v>1521</v>
      </c>
      <c r="K821">
        <v>2021</v>
      </c>
      <c r="L821">
        <v>3</v>
      </c>
      <c r="M821">
        <v>16</v>
      </c>
      <c r="N821" t="s">
        <v>98</v>
      </c>
      <c r="O821">
        <v>5</v>
      </c>
      <c r="P821">
        <v>5</v>
      </c>
      <c r="Q821" t="s">
        <v>31</v>
      </c>
      <c r="R821">
        <v>24</v>
      </c>
      <c r="S821">
        <v>71</v>
      </c>
      <c r="T821">
        <v>80001</v>
      </c>
      <c r="U821">
        <v>4600</v>
      </c>
      <c r="V821">
        <v>4.4000000000000004</v>
      </c>
      <c r="W821" t="s">
        <v>31</v>
      </c>
    </row>
    <row r="822" spans="1:23" x14ac:dyDescent="0.3">
      <c r="A822" t="s">
        <v>1522</v>
      </c>
      <c r="B822" t="s">
        <v>2092</v>
      </c>
      <c r="C822">
        <v>28</v>
      </c>
      <c r="D822" t="s">
        <v>41</v>
      </c>
      <c r="E822" t="s">
        <v>71</v>
      </c>
      <c r="F822" t="s">
        <v>62</v>
      </c>
      <c r="G822" t="s">
        <v>52</v>
      </c>
      <c r="H822" t="s">
        <v>320</v>
      </c>
      <c r="I822" t="s">
        <v>27</v>
      </c>
      <c r="J822" t="s">
        <v>1523</v>
      </c>
      <c r="K822">
        <v>2024</v>
      </c>
      <c r="L822">
        <v>0</v>
      </c>
      <c r="M822">
        <v>5</v>
      </c>
      <c r="N822" t="s">
        <v>29</v>
      </c>
      <c r="O822">
        <v>2</v>
      </c>
      <c r="P822">
        <v>3</v>
      </c>
      <c r="Q822" t="s">
        <v>30</v>
      </c>
      <c r="R822">
        <v>16</v>
      </c>
      <c r="S822">
        <v>74</v>
      </c>
      <c r="T822">
        <v>62033</v>
      </c>
      <c r="U822">
        <v>7700</v>
      </c>
      <c r="V822">
        <v>7.5</v>
      </c>
      <c r="W822" t="s">
        <v>30</v>
      </c>
    </row>
    <row r="823" spans="1:23" x14ac:dyDescent="0.3">
      <c r="A823" t="s">
        <v>1524</v>
      </c>
      <c r="B823" t="s">
        <v>2044</v>
      </c>
      <c r="C823">
        <v>39</v>
      </c>
      <c r="D823" t="s">
        <v>41</v>
      </c>
      <c r="E823" t="s">
        <v>71</v>
      </c>
      <c r="F823" t="s">
        <v>47</v>
      </c>
      <c r="G823" t="s">
        <v>43</v>
      </c>
      <c r="H823" t="s">
        <v>96</v>
      </c>
      <c r="I823" t="s">
        <v>27</v>
      </c>
      <c r="J823" t="s">
        <v>540</v>
      </c>
      <c r="K823">
        <v>2024</v>
      </c>
      <c r="L823">
        <v>0</v>
      </c>
      <c r="M823">
        <v>9</v>
      </c>
      <c r="N823" t="s">
        <v>29</v>
      </c>
      <c r="O823">
        <v>3</v>
      </c>
      <c r="P823">
        <v>4</v>
      </c>
      <c r="Q823" t="s">
        <v>30</v>
      </c>
      <c r="R823">
        <v>24</v>
      </c>
      <c r="S823">
        <v>56</v>
      </c>
      <c r="T823">
        <v>126536</v>
      </c>
      <c r="U823">
        <v>12500</v>
      </c>
      <c r="V823">
        <v>12.5</v>
      </c>
      <c r="W823" t="s">
        <v>31</v>
      </c>
    </row>
    <row r="824" spans="1:23" x14ac:dyDescent="0.3">
      <c r="A824" t="s">
        <v>1525</v>
      </c>
      <c r="B824" t="s">
        <v>2195</v>
      </c>
      <c r="C824">
        <v>36</v>
      </c>
      <c r="D824" t="s">
        <v>33</v>
      </c>
      <c r="E824" t="s">
        <v>34</v>
      </c>
      <c r="F824" t="s">
        <v>153</v>
      </c>
      <c r="G824" t="s">
        <v>25</v>
      </c>
      <c r="H824" t="s">
        <v>58</v>
      </c>
      <c r="I824" t="s">
        <v>79</v>
      </c>
      <c r="J824" t="s">
        <v>265</v>
      </c>
      <c r="K824">
        <v>2024</v>
      </c>
      <c r="L824">
        <v>0</v>
      </c>
      <c r="M824">
        <v>11</v>
      </c>
      <c r="N824" t="s">
        <v>98</v>
      </c>
      <c r="O824">
        <v>2</v>
      </c>
      <c r="P824">
        <v>2</v>
      </c>
      <c r="Q824" t="s">
        <v>31</v>
      </c>
      <c r="R824">
        <v>24</v>
      </c>
      <c r="S824">
        <v>53</v>
      </c>
      <c r="T824">
        <v>88188</v>
      </c>
      <c r="U824">
        <v>5000</v>
      </c>
      <c r="V824">
        <v>4.5999999999999996</v>
      </c>
      <c r="W824" t="s">
        <v>31</v>
      </c>
    </row>
    <row r="825" spans="1:23" x14ac:dyDescent="0.3">
      <c r="A825" t="s">
        <v>1526</v>
      </c>
      <c r="B825" t="s">
        <v>2196</v>
      </c>
      <c r="C825">
        <v>47</v>
      </c>
      <c r="D825" t="s">
        <v>33</v>
      </c>
      <c r="E825" t="s">
        <v>34</v>
      </c>
      <c r="F825" t="s">
        <v>35</v>
      </c>
      <c r="G825" t="s">
        <v>52</v>
      </c>
      <c r="H825" t="s">
        <v>208</v>
      </c>
      <c r="I825" t="s">
        <v>27</v>
      </c>
      <c r="J825" t="s">
        <v>1527</v>
      </c>
      <c r="K825">
        <v>2024</v>
      </c>
      <c r="L825">
        <v>0</v>
      </c>
      <c r="M825">
        <v>20</v>
      </c>
      <c r="N825" t="s">
        <v>85</v>
      </c>
      <c r="O825">
        <v>4</v>
      </c>
      <c r="P825">
        <v>4</v>
      </c>
      <c r="Q825" t="s">
        <v>30</v>
      </c>
      <c r="R825">
        <v>15</v>
      </c>
      <c r="S825">
        <v>60</v>
      </c>
      <c r="T825">
        <v>48519</v>
      </c>
      <c r="U825">
        <v>11400</v>
      </c>
      <c r="V825">
        <v>8.1</v>
      </c>
      <c r="W825" t="s">
        <v>31</v>
      </c>
    </row>
    <row r="826" spans="1:23" x14ac:dyDescent="0.3">
      <c r="A826" t="s">
        <v>1528</v>
      </c>
      <c r="B826" t="s">
        <v>1832</v>
      </c>
      <c r="C826">
        <v>27</v>
      </c>
      <c r="D826" t="s">
        <v>41</v>
      </c>
      <c r="E826" t="s">
        <v>34</v>
      </c>
      <c r="F826" t="s">
        <v>42</v>
      </c>
      <c r="G826" t="s">
        <v>117</v>
      </c>
      <c r="H826" t="s">
        <v>184</v>
      </c>
      <c r="I826" t="s">
        <v>27</v>
      </c>
      <c r="J826" t="s">
        <v>1529</v>
      </c>
      <c r="K826">
        <v>2021</v>
      </c>
      <c r="L826">
        <v>3</v>
      </c>
      <c r="M826">
        <v>4</v>
      </c>
      <c r="N826" t="s">
        <v>39</v>
      </c>
      <c r="O826">
        <v>1</v>
      </c>
      <c r="P826">
        <v>1</v>
      </c>
      <c r="Q826" t="s">
        <v>30</v>
      </c>
      <c r="R826">
        <v>24</v>
      </c>
      <c r="S826">
        <v>68</v>
      </c>
      <c r="T826">
        <v>101474</v>
      </c>
      <c r="U826">
        <v>2500</v>
      </c>
      <c r="V826">
        <v>13.9</v>
      </c>
      <c r="W826" t="s">
        <v>31</v>
      </c>
    </row>
    <row r="827" spans="1:23" x14ac:dyDescent="0.3">
      <c r="A827" t="s">
        <v>1530</v>
      </c>
      <c r="B827" t="s">
        <v>1853</v>
      </c>
      <c r="C827">
        <v>46</v>
      </c>
      <c r="D827" t="s">
        <v>41</v>
      </c>
      <c r="E827" t="s">
        <v>34</v>
      </c>
      <c r="F827" t="s">
        <v>137</v>
      </c>
      <c r="G827" t="s">
        <v>82</v>
      </c>
      <c r="H827" t="s">
        <v>286</v>
      </c>
      <c r="I827" t="s">
        <v>65</v>
      </c>
      <c r="J827" t="s">
        <v>673</v>
      </c>
      <c r="K827">
        <v>2024</v>
      </c>
      <c r="L827">
        <v>0</v>
      </c>
      <c r="M827">
        <v>16</v>
      </c>
      <c r="N827" t="s">
        <v>85</v>
      </c>
      <c r="O827">
        <v>3</v>
      </c>
      <c r="P827">
        <v>4</v>
      </c>
      <c r="Q827" t="s">
        <v>31</v>
      </c>
      <c r="R827">
        <v>4</v>
      </c>
      <c r="S827">
        <v>52</v>
      </c>
      <c r="T827">
        <v>50186</v>
      </c>
      <c r="U827">
        <v>10400</v>
      </c>
      <c r="V827">
        <v>14.3</v>
      </c>
      <c r="W827" t="s">
        <v>31</v>
      </c>
    </row>
    <row r="828" spans="1:23" x14ac:dyDescent="0.3">
      <c r="A828" t="s">
        <v>1531</v>
      </c>
      <c r="B828" t="s">
        <v>1868</v>
      </c>
      <c r="C828">
        <v>28</v>
      </c>
      <c r="D828" t="s">
        <v>33</v>
      </c>
      <c r="E828" t="s">
        <v>34</v>
      </c>
      <c r="F828" t="s">
        <v>62</v>
      </c>
      <c r="G828" t="s">
        <v>36</v>
      </c>
      <c r="H828" t="s">
        <v>68</v>
      </c>
      <c r="I828" t="s">
        <v>27</v>
      </c>
      <c r="J828" t="s">
        <v>951</v>
      </c>
      <c r="K828">
        <v>2024</v>
      </c>
      <c r="L828">
        <v>0</v>
      </c>
      <c r="M828">
        <v>4</v>
      </c>
      <c r="N828" t="s">
        <v>29</v>
      </c>
      <c r="O828">
        <v>5</v>
      </c>
      <c r="P828">
        <v>1</v>
      </c>
      <c r="Q828" t="s">
        <v>31</v>
      </c>
      <c r="R828">
        <v>14</v>
      </c>
      <c r="S828">
        <v>70</v>
      </c>
      <c r="T828">
        <v>79652</v>
      </c>
      <c r="U828">
        <v>10500</v>
      </c>
      <c r="V828">
        <v>13.6</v>
      </c>
      <c r="W828" t="s">
        <v>31</v>
      </c>
    </row>
    <row r="829" spans="1:23" x14ac:dyDescent="0.3">
      <c r="A829" t="s">
        <v>1532</v>
      </c>
      <c r="B829" t="s">
        <v>2197</v>
      </c>
      <c r="C829">
        <v>34</v>
      </c>
      <c r="D829" t="s">
        <v>22</v>
      </c>
      <c r="E829" t="s">
        <v>34</v>
      </c>
      <c r="F829" t="s">
        <v>47</v>
      </c>
      <c r="G829" t="s">
        <v>82</v>
      </c>
      <c r="H829" t="s">
        <v>138</v>
      </c>
      <c r="I829" t="s">
        <v>27</v>
      </c>
      <c r="J829" t="s">
        <v>905</v>
      </c>
      <c r="K829">
        <v>2023</v>
      </c>
      <c r="L829">
        <v>1</v>
      </c>
      <c r="M829">
        <v>10</v>
      </c>
      <c r="N829" t="s">
        <v>98</v>
      </c>
      <c r="O829">
        <v>4</v>
      </c>
      <c r="P829">
        <v>3</v>
      </c>
      <c r="Q829" t="s">
        <v>31</v>
      </c>
      <c r="R829">
        <v>9</v>
      </c>
      <c r="S829">
        <v>47</v>
      </c>
      <c r="T829">
        <v>81535</v>
      </c>
      <c r="U829">
        <v>5100</v>
      </c>
      <c r="V829">
        <v>6.9</v>
      </c>
      <c r="W829" t="s">
        <v>31</v>
      </c>
    </row>
    <row r="830" spans="1:23" x14ac:dyDescent="0.3">
      <c r="A830" t="s">
        <v>1533</v>
      </c>
      <c r="B830" t="s">
        <v>1861</v>
      </c>
      <c r="C830">
        <v>26</v>
      </c>
      <c r="D830" t="s">
        <v>33</v>
      </c>
      <c r="E830" t="s">
        <v>34</v>
      </c>
      <c r="F830" t="s">
        <v>51</v>
      </c>
      <c r="G830" t="s">
        <v>100</v>
      </c>
      <c r="H830" t="s">
        <v>101</v>
      </c>
      <c r="I830" t="s">
        <v>27</v>
      </c>
      <c r="J830" t="s">
        <v>1487</v>
      </c>
      <c r="K830">
        <v>2022</v>
      </c>
      <c r="L830">
        <v>2</v>
      </c>
      <c r="M830">
        <v>3</v>
      </c>
      <c r="N830" t="s">
        <v>85</v>
      </c>
      <c r="O830">
        <v>5</v>
      </c>
      <c r="P830">
        <v>1</v>
      </c>
      <c r="Q830" t="s">
        <v>31</v>
      </c>
      <c r="R830">
        <v>14</v>
      </c>
      <c r="S830">
        <v>56</v>
      </c>
      <c r="T830">
        <v>52684</v>
      </c>
      <c r="U830">
        <v>11400</v>
      </c>
      <c r="V830">
        <v>8.4</v>
      </c>
      <c r="W830" t="s">
        <v>31</v>
      </c>
    </row>
    <row r="831" spans="1:23" x14ac:dyDescent="0.3">
      <c r="A831" t="s">
        <v>1534</v>
      </c>
      <c r="B831" t="s">
        <v>2108</v>
      </c>
      <c r="C831">
        <v>35</v>
      </c>
      <c r="D831" t="s">
        <v>33</v>
      </c>
      <c r="E831" t="s">
        <v>34</v>
      </c>
      <c r="F831" t="s">
        <v>51</v>
      </c>
      <c r="G831" t="s">
        <v>63</v>
      </c>
      <c r="H831" t="s">
        <v>225</v>
      </c>
      <c r="I831" t="s">
        <v>27</v>
      </c>
      <c r="J831" t="s">
        <v>858</v>
      </c>
      <c r="K831">
        <v>2023</v>
      </c>
      <c r="L831">
        <v>1</v>
      </c>
      <c r="M831">
        <v>6</v>
      </c>
      <c r="N831" t="s">
        <v>98</v>
      </c>
      <c r="O831">
        <v>1</v>
      </c>
      <c r="P831">
        <v>5</v>
      </c>
      <c r="Q831" t="s">
        <v>30</v>
      </c>
      <c r="R831">
        <v>1</v>
      </c>
      <c r="S831">
        <v>8</v>
      </c>
      <c r="T831">
        <v>41279</v>
      </c>
      <c r="U831">
        <v>3000</v>
      </c>
      <c r="V831">
        <v>7.6</v>
      </c>
      <c r="W831" t="s">
        <v>31</v>
      </c>
    </row>
    <row r="832" spans="1:23" x14ac:dyDescent="0.3">
      <c r="A832" t="s">
        <v>1535</v>
      </c>
      <c r="B832" t="s">
        <v>2198</v>
      </c>
      <c r="C832">
        <v>29</v>
      </c>
      <c r="D832" t="s">
        <v>22</v>
      </c>
      <c r="E832" t="s">
        <v>34</v>
      </c>
      <c r="F832" t="s">
        <v>24</v>
      </c>
      <c r="G832" t="s">
        <v>63</v>
      </c>
      <c r="H832" t="s">
        <v>225</v>
      </c>
      <c r="I832" t="s">
        <v>79</v>
      </c>
      <c r="J832" t="s">
        <v>1254</v>
      </c>
      <c r="K832">
        <v>2023</v>
      </c>
      <c r="L832">
        <v>1</v>
      </c>
      <c r="M832">
        <v>7</v>
      </c>
      <c r="N832" t="s">
        <v>39</v>
      </c>
      <c r="O832">
        <v>3</v>
      </c>
      <c r="P832">
        <v>1</v>
      </c>
      <c r="Q832" t="s">
        <v>31</v>
      </c>
      <c r="R832">
        <v>1</v>
      </c>
      <c r="S832">
        <v>13</v>
      </c>
      <c r="T832">
        <v>60979</v>
      </c>
      <c r="U832">
        <v>1700</v>
      </c>
      <c r="V832">
        <v>9.5</v>
      </c>
      <c r="W832" t="s">
        <v>31</v>
      </c>
    </row>
    <row r="833" spans="1:23" x14ac:dyDescent="0.3">
      <c r="A833" t="s">
        <v>1536</v>
      </c>
      <c r="B833" t="s">
        <v>2185</v>
      </c>
      <c r="C833">
        <v>40</v>
      </c>
      <c r="D833" t="s">
        <v>33</v>
      </c>
      <c r="E833" t="s">
        <v>61</v>
      </c>
      <c r="F833" t="s">
        <v>137</v>
      </c>
      <c r="G833" t="s">
        <v>43</v>
      </c>
      <c r="H833" t="s">
        <v>72</v>
      </c>
      <c r="I833" t="s">
        <v>79</v>
      </c>
      <c r="J833" t="s">
        <v>284</v>
      </c>
      <c r="K833">
        <v>2024</v>
      </c>
      <c r="L833">
        <v>0</v>
      </c>
      <c r="M833">
        <v>17</v>
      </c>
      <c r="N833" t="s">
        <v>39</v>
      </c>
      <c r="O833">
        <v>2</v>
      </c>
      <c r="P833">
        <v>5</v>
      </c>
      <c r="Q833" t="s">
        <v>30</v>
      </c>
      <c r="R833">
        <v>11</v>
      </c>
      <c r="S833">
        <v>8</v>
      </c>
      <c r="T833">
        <v>115264</v>
      </c>
      <c r="U833">
        <v>3200</v>
      </c>
      <c r="V833">
        <v>6.1</v>
      </c>
      <c r="W833" t="s">
        <v>31</v>
      </c>
    </row>
    <row r="834" spans="1:23" x14ac:dyDescent="0.3">
      <c r="A834" t="s">
        <v>1537</v>
      </c>
      <c r="B834" t="s">
        <v>1858</v>
      </c>
      <c r="C834">
        <v>36</v>
      </c>
      <c r="D834" t="s">
        <v>33</v>
      </c>
      <c r="E834" t="s">
        <v>71</v>
      </c>
      <c r="F834" t="s">
        <v>153</v>
      </c>
      <c r="G834" t="s">
        <v>82</v>
      </c>
      <c r="H834" t="s">
        <v>323</v>
      </c>
      <c r="I834" t="s">
        <v>79</v>
      </c>
      <c r="J834" t="s">
        <v>933</v>
      </c>
      <c r="K834">
        <v>2021</v>
      </c>
      <c r="L834">
        <v>3</v>
      </c>
      <c r="M834">
        <v>11</v>
      </c>
      <c r="N834" t="s">
        <v>85</v>
      </c>
      <c r="O834">
        <v>5</v>
      </c>
      <c r="P834">
        <v>5</v>
      </c>
      <c r="Q834" t="s">
        <v>31</v>
      </c>
      <c r="R834">
        <v>13</v>
      </c>
      <c r="S834">
        <v>75</v>
      </c>
      <c r="T834">
        <v>53082</v>
      </c>
      <c r="U834">
        <v>10400</v>
      </c>
      <c r="V834">
        <v>9</v>
      </c>
      <c r="W834" t="s">
        <v>31</v>
      </c>
    </row>
    <row r="835" spans="1:23" x14ac:dyDescent="0.3">
      <c r="A835" t="s">
        <v>1538</v>
      </c>
      <c r="B835" t="s">
        <v>2056</v>
      </c>
      <c r="C835">
        <v>40</v>
      </c>
      <c r="D835" t="s">
        <v>33</v>
      </c>
      <c r="E835" t="s">
        <v>61</v>
      </c>
      <c r="F835" t="s">
        <v>57</v>
      </c>
      <c r="G835" t="s">
        <v>82</v>
      </c>
      <c r="H835" t="s">
        <v>83</v>
      </c>
      <c r="I835" t="s">
        <v>79</v>
      </c>
      <c r="J835" t="s">
        <v>1539</v>
      </c>
      <c r="K835">
        <v>2021</v>
      </c>
      <c r="L835">
        <v>3</v>
      </c>
      <c r="M835">
        <v>16</v>
      </c>
      <c r="N835" t="s">
        <v>29</v>
      </c>
      <c r="O835">
        <v>5</v>
      </c>
      <c r="P835">
        <v>5</v>
      </c>
      <c r="Q835" t="s">
        <v>30</v>
      </c>
      <c r="R835">
        <v>23</v>
      </c>
      <c r="S835">
        <v>48</v>
      </c>
      <c r="T835">
        <v>51858</v>
      </c>
      <c r="U835">
        <v>6100</v>
      </c>
      <c r="V835">
        <v>4.7</v>
      </c>
      <c r="W835" t="s">
        <v>31</v>
      </c>
    </row>
    <row r="836" spans="1:23" x14ac:dyDescent="0.3">
      <c r="A836" t="s">
        <v>1540</v>
      </c>
      <c r="B836" t="s">
        <v>1930</v>
      </c>
      <c r="C836">
        <v>37</v>
      </c>
      <c r="D836" t="s">
        <v>41</v>
      </c>
      <c r="E836" t="s">
        <v>34</v>
      </c>
      <c r="F836" t="s">
        <v>42</v>
      </c>
      <c r="G836" t="s">
        <v>25</v>
      </c>
      <c r="H836" t="s">
        <v>58</v>
      </c>
      <c r="I836" t="s">
        <v>27</v>
      </c>
      <c r="J836" t="s">
        <v>156</v>
      </c>
      <c r="K836">
        <v>2022</v>
      </c>
      <c r="L836">
        <v>2</v>
      </c>
      <c r="M836">
        <v>8</v>
      </c>
      <c r="N836" t="s">
        <v>29</v>
      </c>
      <c r="O836">
        <v>4</v>
      </c>
      <c r="P836">
        <v>2</v>
      </c>
      <c r="Q836" t="s">
        <v>31</v>
      </c>
      <c r="R836">
        <v>18</v>
      </c>
      <c r="S836">
        <v>26</v>
      </c>
      <c r="T836">
        <v>70431</v>
      </c>
      <c r="U836">
        <v>9400</v>
      </c>
      <c r="V836">
        <v>4.8</v>
      </c>
      <c r="W836" t="s">
        <v>31</v>
      </c>
    </row>
    <row r="837" spans="1:23" x14ac:dyDescent="0.3">
      <c r="A837" t="s">
        <v>1541</v>
      </c>
      <c r="B837" t="s">
        <v>1842</v>
      </c>
      <c r="C837">
        <v>43</v>
      </c>
      <c r="D837" t="s">
        <v>41</v>
      </c>
      <c r="E837" t="s">
        <v>34</v>
      </c>
      <c r="F837" t="s">
        <v>57</v>
      </c>
      <c r="G837" t="s">
        <v>43</v>
      </c>
      <c r="H837" t="s">
        <v>44</v>
      </c>
      <c r="I837" t="s">
        <v>27</v>
      </c>
      <c r="J837" t="s">
        <v>1542</v>
      </c>
      <c r="K837">
        <v>2021</v>
      </c>
      <c r="L837">
        <v>3</v>
      </c>
      <c r="M837">
        <v>18</v>
      </c>
      <c r="N837" t="s">
        <v>85</v>
      </c>
      <c r="O837">
        <v>4</v>
      </c>
      <c r="P837">
        <v>4</v>
      </c>
      <c r="Q837" t="s">
        <v>30</v>
      </c>
      <c r="R837">
        <v>13</v>
      </c>
      <c r="S837">
        <v>48</v>
      </c>
      <c r="T837">
        <v>85876</v>
      </c>
      <c r="U837">
        <v>14500</v>
      </c>
      <c r="V837">
        <v>5.2</v>
      </c>
      <c r="W837" t="s">
        <v>31</v>
      </c>
    </row>
    <row r="838" spans="1:23" x14ac:dyDescent="0.3">
      <c r="A838" t="s">
        <v>1543</v>
      </c>
      <c r="B838" t="s">
        <v>2024</v>
      </c>
      <c r="C838">
        <v>26</v>
      </c>
      <c r="D838" t="s">
        <v>41</v>
      </c>
      <c r="E838" t="s">
        <v>71</v>
      </c>
      <c r="F838" t="s">
        <v>75</v>
      </c>
      <c r="G838" t="s">
        <v>25</v>
      </c>
      <c r="H838" t="s">
        <v>26</v>
      </c>
      <c r="I838" t="s">
        <v>79</v>
      </c>
      <c r="J838" t="s">
        <v>1544</v>
      </c>
      <c r="K838">
        <v>2024</v>
      </c>
      <c r="L838">
        <v>0</v>
      </c>
      <c r="M838">
        <v>4</v>
      </c>
      <c r="N838" t="s">
        <v>29</v>
      </c>
      <c r="O838">
        <v>3</v>
      </c>
      <c r="P838">
        <v>3</v>
      </c>
      <c r="Q838" t="s">
        <v>31</v>
      </c>
      <c r="R838">
        <v>20</v>
      </c>
      <c r="S838">
        <v>31</v>
      </c>
      <c r="T838">
        <v>108597</v>
      </c>
      <c r="U838">
        <v>12400</v>
      </c>
      <c r="V838">
        <v>12.6</v>
      </c>
      <c r="W838" t="s">
        <v>31</v>
      </c>
    </row>
    <row r="839" spans="1:23" x14ac:dyDescent="0.3">
      <c r="A839" t="s">
        <v>1545</v>
      </c>
      <c r="B839" t="s">
        <v>2117</v>
      </c>
      <c r="C839">
        <v>42</v>
      </c>
      <c r="D839" t="s">
        <v>33</v>
      </c>
      <c r="E839" t="s">
        <v>34</v>
      </c>
      <c r="F839" t="s">
        <v>137</v>
      </c>
      <c r="G839" t="s">
        <v>36</v>
      </c>
      <c r="H839" t="s">
        <v>76</v>
      </c>
      <c r="I839" t="s">
        <v>27</v>
      </c>
      <c r="J839" t="s">
        <v>1546</v>
      </c>
      <c r="K839">
        <v>2024</v>
      </c>
      <c r="L839">
        <v>0</v>
      </c>
      <c r="M839">
        <v>18</v>
      </c>
      <c r="N839" t="s">
        <v>29</v>
      </c>
      <c r="O839">
        <v>1</v>
      </c>
      <c r="P839">
        <v>4</v>
      </c>
      <c r="Q839" t="s">
        <v>30</v>
      </c>
      <c r="R839">
        <v>24</v>
      </c>
      <c r="S839">
        <v>51</v>
      </c>
      <c r="T839">
        <v>65272</v>
      </c>
      <c r="U839">
        <v>9300</v>
      </c>
      <c r="V839">
        <v>6.8</v>
      </c>
      <c r="W839" t="s">
        <v>31</v>
      </c>
    </row>
    <row r="840" spans="1:23" x14ac:dyDescent="0.3">
      <c r="A840" t="s">
        <v>1547</v>
      </c>
      <c r="B840" t="s">
        <v>1885</v>
      </c>
      <c r="C840">
        <v>47</v>
      </c>
      <c r="D840" t="s">
        <v>41</v>
      </c>
      <c r="E840" t="s">
        <v>34</v>
      </c>
      <c r="F840" t="s">
        <v>153</v>
      </c>
      <c r="G840" t="s">
        <v>82</v>
      </c>
      <c r="H840" t="s">
        <v>83</v>
      </c>
      <c r="I840" t="s">
        <v>27</v>
      </c>
      <c r="J840" t="s">
        <v>1548</v>
      </c>
      <c r="K840">
        <v>2023</v>
      </c>
      <c r="L840">
        <v>1</v>
      </c>
      <c r="M840">
        <v>19</v>
      </c>
      <c r="N840" t="s">
        <v>29</v>
      </c>
      <c r="O840">
        <v>1</v>
      </c>
      <c r="P840">
        <v>1</v>
      </c>
      <c r="Q840" t="s">
        <v>31</v>
      </c>
      <c r="R840">
        <v>0</v>
      </c>
      <c r="S840">
        <v>50</v>
      </c>
      <c r="T840">
        <v>49884</v>
      </c>
      <c r="U840">
        <v>7000</v>
      </c>
      <c r="V840">
        <v>3.6</v>
      </c>
      <c r="W840" t="s">
        <v>31</v>
      </c>
    </row>
    <row r="841" spans="1:23" x14ac:dyDescent="0.3">
      <c r="A841" t="s">
        <v>1549</v>
      </c>
      <c r="B841" t="s">
        <v>2138</v>
      </c>
      <c r="C841">
        <v>34</v>
      </c>
      <c r="D841" t="s">
        <v>41</v>
      </c>
      <c r="E841" t="s">
        <v>34</v>
      </c>
      <c r="F841" t="s">
        <v>62</v>
      </c>
      <c r="G841" t="s">
        <v>117</v>
      </c>
      <c r="H841" t="s">
        <v>184</v>
      </c>
      <c r="I841" t="s">
        <v>27</v>
      </c>
      <c r="J841" t="s">
        <v>415</v>
      </c>
      <c r="K841">
        <v>2021</v>
      </c>
      <c r="L841">
        <v>3</v>
      </c>
      <c r="M841">
        <v>8</v>
      </c>
      <c r="N841" t="s">
        <v>29</v>
      </c>
      <c r="O841">
        <v>5</v>
      </c>
      <c r="P841">
        <v>5</v>
      </c>
      <c r="Q841" t="s">
        <v>31</v>
      </c>
      <c r="R841">
        <v>0</v>
      </c>
      <c r="S841">
        <v>47</v>
      </c>
      <c r="T841">
        <v>84295</v>
      </c>
      <c r="U841">
        <v>8500</v>
      </c>
      <c r="V841">
        <v>10.4</v>
      </c>
      <c r="W841" t="s">
        <v>31</v>
      </c>
    </row>
    <row r="842" spans="1:23" x14ac:dyDescent="0.3">
      <c r="A842" t="s">
        <v>1550</v>
      </c>
      <c r="B842" t="s">
        <v>1875</v>
      </c>
      <c r="C842">
        <v>43</v>
      </c>
      <c r="D842" t="s">
        <v>41</v>
      </c>
      <c r="E842" t="s">
        <v>71</v>
      </c>
      <c r="F842" t="s">
        <v>42</v>
      </c>
      <c r="G842" t="s">
        <v>43</v>
      </c>
      <c r="H842" t="s">
        <v>44</v>
      </c>
      <c r="I842" t="s">
        <v>27</v>
      </c>
      <c r="J842" t="s">
        <v>1389</v>
      </c>
      <c r="K842">
        <v>2023</v>
      </c>
      <c r="L842">
        <v>1</v>
      </c>
      <c r="M842">
        <v>13</v>
      </c>
      <c r="N842" t="s">
        <v>85</v>
      </c>
      <c r="O842">
        <v>5</v>
      </c>
      <c r="P842">
        <v>1</v>
      </c>
      <c r="Q842" t="s">
        <v>31</v>
      </c>
      <c r="R842">
        <v>15</v>
      </c>
      <c r="S842">
        <v>67</v>
      </c>
      <c r="T842">
        <v>123117</v>
      </c>
      <c r="U842">
        <v>25700</v>
      </c>
      <c r="V842">
        <v>12.4</v>
      </c>
      <c r="W842" t="s">
        <v>31</v>
      </c>
    </row>
    <row r="843" spans="1:23" x14ac:dyDescent="0.3">
      <c r="A843" t="s">
        <v>1551</v>
      </c>
      <c r="B843" t="s">
        <v>1891</v>
      </c>
      <c r="C843">
        <v>47</v>
      </c>
      <c r="D843" t="s">
        <v>33</v>
      </c>
      <c r="E843" t="s">
        <v>34</v>
      </c>
      <c r="F843" t="s">
        <v>35</v>
      </c>
      <c r="G843" t="s">
        <v>25</v>
      </c>
      <c r="H843" t="s">
        <v>110</v>
      </c>
      <c r="I843" t="s">
        <v>27</v>
      </c>
      <c r="J843" t="s">
        <v>1552</v>
      </c>
      <c r="K843">
        <v>2021</v>
      </c>
      <c r="L843">
        <v>3</v>
      </c>
      <c r="M843">
        <v>19</v>
      </c>
      <c r="N843" t="s">
        <v>98</v>
      </c>
      <c r="O843">
        <v>1</v>
      </c>
      <c r="P843">
        <v>2</v>
      </c>
      <c r="Q843" t="s">
        <v>31</v>
      </c>
      <c r="R843">
        <v>13</v>
      </c>
      <c r="S843">
        <v>45</v>
      </c>
      <c r="T843">
        <v>84722</v>
      </c>
      <c r="U843">
        <v>6100</v>
      </c>
      <c r="V843">
        <v>13.8</v>
      </c>
      <c r="W843" t="s">
        <v>30</v>
      </c>
    </row>
    <row r="844" spans="1:23" x14ac:dyDescent="0.3">
      <c r="A844" t="s">
        <v>1553</v>
      </c>
      <c r="B844" t="s">
        <v>2068</v>
      </c>
      <c r="C844">
        <v>33</v>
      </c>
      <c r="D844" t="s">
        <v>33</v>
      </c>
      <c r="E844" t="s">
        <v>71</v>
      </c>
      <c r="F844" t="s">
        <v>51</v>
      </c>
      <c r="G844" t="s">
        <v>25</v>
      </c>
      <c r="H844" t="s">
        <v>110</v>
      </c>
      <c r="I844" t="s">
        <v>27</v>
      </c>
      <c r="J844" t="s">
        <v>1024</v>
      </c>
      <c r="K844">
        <v>2022</v>
      </c>
      <c r="L844">
        <v>2</v>
      </c>
      <c r="M844">
        <v>10</v>
      </c>
      <c r="N844" t="s">
        <v>98</v>
      </c>
      <c r="O844">
        <v>5</v>
      </c>
      <c r="P844">
        <v>3</v>
      </c>
      <c r="Q844" t="s">
        <v>31</v>
      </c>
      <c r="R844">
        <v>3</v>
      </c>
      <c r="S844">
        <v>58</v>
      </c>
      <c r="T844">
        <v>55383</v>
      </c>
      <c r="U844">
        <v>4600</v>
      </c>
      <c r="V844">
        <v>9.9</v>
      </c>
      <c r="W844" t="s">
        <v>31</v>
      </c>
    </row>
    <row r="845" spans="1:23" x14ac:dyDescent="0.3">
      <c r="A845" t="s">
        <v>1554</v>
      </c>
      <c r="B845" t="s">
        <v>1837</v>
      </c>
      <c r="C845">
        <v>37</v>
      </c>
      <c r="D845" t="s">
        <v>41</v>
      </c>
      <c r="E845" t="s">
        <v>61</v>
      </c>
      <c r="F845" t="s">
        <v>62</v>
      </c>
      <c r="G845" t="s">
        <v>63</v>
      </c>
      <c r="H845" t="s">
        <v>225</v>
      </c>
      <c r="I845" t="s">
        <v>27</v>
      </c>
      <c r="J845" t="s">
        <v>1555</v>
      </c>
      <c r="K845">
        <v>2022</v>
      </c>
      <c r="L845">
        <v>2</v>
      </c>
      <c r="M845">
        <v>13</v>
      </c>
      <c r="N845" t="s">
        <v>29</v>
      </c>
      <c r="O845">
        <v>2</v>
      </c>
      <c r="P845">
        <v>4</v>
      </c>
      <c r="Q845" t="s">
        <v>30</v>
      </c>
      <c r="R845">
        <v>8</v>
      </c>
      <c r="S845">
        <v>22</v>
      </c>
      <c r="T845">
        <v>38164</v>
      </c>
      <c r="U845">
        <v>5100</v>
      </c>
      <c r="V845">
        <v>10.7</v>
      </c>
      <c r="W845" t="s">
        <v>31</v>
      </c>
    </row>
    <row r="846" spans="1:23" x14ac:dyDescent="0.3">
      <c r="A846" t="s">
        <v>1556</v>
      </c>
      <c r="B846" t="s">
        <v>1909</v>
      </c>
      <c r="C846">
        <v>36</v>
      </c>
      <c r="D846" t="s">
        <v>41</v>
      </c>
      <c r="E846" t="s">
        <v>34</v>
      </c>
      <c r="F846" t="s">
        <v>137</v>
      </c>
      <c r="G846" t="s">
        <v>63</v>
      </c>
      <c r="H846" t="s">
        <v>64</v>
      </c>
      <c r="I846" t="s">
        <v>27</v>
      </c>
      <c r="J846" t="s">
        <v>1557</v>
      </c>
      <c r="K846">
        <v>2021</v>
      </c>
      <c r="L846">
        <v>3</v>
      </c>
      <c r="M846">
        <v>9</v>
      </c>
      <c r="N846" t="s">
        <v>85</v>
      </c>
      <c r="O846">
        <v>5</v>
      </c>
      <c r="P846">
        <v>2</v>
      </c>
      <c r="Q846" t="s">
        <v>31</v>
      </c>
      <c r="R846">
        <v>0</v>
      </c>
      <c r="S846">
        <v>73</v>
      </c>
      <c r="T846">
        <v>39321</v>
      </c>
      <c r="U846">
        <v>8000</v>
      </c>
      <c r="V846">
        <v>11.2</v>
      </c>
      <c r="W846" t="s">
        <v>31</v>
      </c>
    </row>
    <row r="847" spans="1:23" x14ac:dyDescent="0.3">
      <c r="A847" t="s">
        <v>1558</v>
      </c>
      <c r="B847" t="s">
        <v>2199</v>
      </c>
      <c r="C847">
        <v>41</v>
      </c>
      <c r="D847" t="s">
        <v>41</v>
      </c>
      <c r="E847" t="s">
        <v>56</v>
      </c>
      <c r="F847" t="s">
        <v>137</v>
      </c>
      <c r="G847" t="s">
        <v>63</v>
      </c>
      <c r="H847" t="s">
        <v>64</v>
      </c>
      <c r="I847" t="s">
        <v>27</v>
      </c>
      <c r="J847" t="s">
        <v>1559</v>
      </c>
      <c r="K847">
        <v>2024</v>
      </c>
      <c r="L847">
        <v>0</v>
      </c>
      <c r="M847">
        <v>19</v>
      </c>
      <c r="N847" t="s">
        <v>85</v>
      </c>
      <c r="O847">
        <v>2</v>
      </c>
      <c r="P847">
        <v>2</v>
      </c>
      <c r="Q847" t="s">
        <v>31</v>
      </c>
      <c r="R847">
        <v>8</v>
      </c>
      <c r="S847">
        <v>60</v>
      </c>
      <c r="T847">
        <v>36631</v>
      </c>
      <c r="U847">
        <v>7000</v>
      </c>
      <c r="V847">
        <v>14.1</v>
      </c>
      <c r="W847" t="s">
        <v>31</v>
      </c>
    </row>
    <row r="848" spans="1:23" x14ac:dyDescent="0.3">
      <c r="A848" t="s">
        <v>1560</v>
      </c>
      <c r="B848" t="s">
        <v>2200</v>
      </c>
      <c r="C848">
        <v>31</v>
      </c>
      <c r="D848" t="s">
        <v>41</v>
      </c>
      <c r="E848" t="s">
        <v>34</v>
      </c>
      <c r="F848" t="s">
        <v>51</v>
      </c>
      <c r="G848" t="s">
        <v>43</v>
      </c>
      <c r="H848" t="s">
        <v>44</v>
      </c>
      <c r="I848" t="s">
        <v>27</v>
      </c>
      <c r="J848" t="s">
        <v>1561</v>
      </c>
      <c r="K848">
        <v>2023</v>
      </c>
      <c r="L848">
        <v>1</v>
      </c>
      <c r="M848">
        <v>9</v>
      </c>
      <c r="N848" t="s">
        <v>29</v>
      </c>
      <c r="O848">
        <v>2</v>
      </c>
      <c r="P848">
        <v>4</v>
      </c>
      <c r="Q848" t="s">
        <v>31</v>
      </c>
      <c r="R848">
        <v>2</v>
      </c>
      <c r="S848">
        <v>49</v>
      </c>
      <c r="T848">
        <v>133632</v>
      </c>
      <c r="U848">
        <v>18900</v>
      </c>
      <c r="V848">
        <v>12.8</v>
      </c>
      <c r="W848" t="s">
        <v>31</v>
      </c>
    </row>
    <row r="849" spans="1:23" x14ac:dyDescent="0.3">
      <c r="A849" t="s">
        <v>1562</v>
      </c>
      <c r="B849" t="s">
        <v>2079</v>
      </c>
      <c r="C849">
        <v>25</v>
      </c>
      <c r="D849" t="s">
        <v>41</v>
      </c>
      <c r="E849" t="s">
        <v>34</v>
      </c>
      <c r="F849" t="s">
        <v>57</v>
      </c>
      <c r="G849" t="s">
        <v>43</v>
      </c>
      <c r="H849" t="s">
        <v>96</v>
      </c>
      <c r="I849" t="s">
        <v>27</v>
      </c>
      <c r="J849" t="s">
        <v>1563</v>
      </c>
      <c r="K849">
        <v>2023</v>
      </c>
      <c r="L849">
        <v>1</v>
      </c>
      <c r="M849">
        <v>2</v>
      </c>
      <c r="N849" t="s">
        <v>39</v>
      </c>
      <c r="O849">
        <v>4</v>
      </c>
      <c r="P849">
        <v>1</v>
      </c>
      <c r="Q849" t="s">
        <v>31</v>
      </c>
      <c r="R849">
        <v>23</v>
      </c>
      <c r="S849">
        <v>5</v>
      </c>
      <c r="T849">
        <v>118732</v>
      </c>
      <c r="U849">
        <v>3700</v>
      </c>
      <c r="V849">
        <v>13.1</v>
      </c>
      <c r="W849" t="s">
        <v>31</v>
      </c>
    </row>
    <row r="850" spans="1:23" x14ac:dyDescent="0.3">
      <c r="A850" t="s">
        <v>1564</v>
      </c>
      <c r="B850" t="s">
        <v>1885</v>
      </c>
      <c r="C850">
        <v>43</v>
      </c>
      <c r="D850" t="s">
        <v>41</v>
      </c>
      <c r="E850" t="s">
        <v>34</v>
      </c>
      <c r="F850" t="s">
        <v>51</v>
      </c>
      <c r="G850" t="s">
        <v>25</v>
      </c>
      <c r="H850" t="s">
        <v>58</v>
      </c>
      <c r="I850" t="s">
        <v>27</v>
      </c>
      <c r="J850" t="s">
        <v>1565</v>
      </c>
      <c r="K850">
        <v>2024</v>
      </c>
      <c r="L850">
        <v>0</v>
      </c>
      <c r="M850">
        <v>19</v>
      </c>
      <c r="N850" t="s">
        <v>29</v>
      </c>
      <c r="O850">
        <v>1</v>
      </c>
      <c r="P850">
        <v>5</v>
      </c>
      <c r="Q850" t="s">
        <v>30</v>
      </c>
      <c r="R850">
        <v>18</v>
      </c>
      <c r="S850">
        <v>39</v>
      </c>
      <c r="T850">
        <v>57151</v>
      </c>
      <c r="U850">
        <v>7700</v>
      </c>
      <c r="V850">
        <v>10.1</v>
      </c>
      <c r="W850" t="s">
        <v>31</v>
      </c>
    </row>
    <row r="851" spans="1:23" x14ac:dyDescent="0.3">
      <c r="A851" t="s">
        <v>1566</v>
      </c>
      <c r="B851" t="s">
        <v>2201</v>
      </c>
      <c r="C851">
        <v>43</v>
      </c>
      <c r="D851" t="s">
        <v>33</v>
      </c>
      <c r="E851" t="s">
        <v>71</v>
      </c>
      <c r="F851" t="s">
        <v>51</v>
      </c>
      <c r="G851" t="s">
        <v>52</v>
      </c>
      <c r="H851" t="s">
        <v>208</v>
      </c>
      <c r="I851" t="s">
        <v>27</v>
      </c>
      <c r="J851" t="s">
        <v>213</v>
      </c>
      <c r="K851">
        <v>2022</v>
      </c>
      <c r="L851">
        <v>2</v>
      </c>
      <c r="M851">
        <v>15</v>
      </c>
      <c r="N851" t="s">
        <v>29</v>
      </c>
      <c r="O851">
        <v>4</v>
      </c>
      <c r="P851">
        <v>1</v>
      </c>
      <c r="Q851" t="s">
        <v>30</v>
      </c>
      <c r="R851">
        <v>19</v>
      </c>
      <c r="S851">
        <v>65</v>
      </c>
      <c r="T851">
        <v>82557</v>
      </c>
      <c r="U851">
        <v>11300</v>
      </c>
      <c r="V851">
        <v>7.1</v>
      </c>
      <c r="W851" t="s">
        <v>31</v>
      </c>
    </row>
    <row r="852" spans="1:23" x14ac:dyDescent="0.3">
      <c r="A852" t="s">
        <v>1567</v>
      </c>
      <c r="B852" t="s">
        <v>2202</v>
      </c>
      <c r="C852">
        <v>30</v>
      </c>
      <c r="D852" t="s">
        <v>22</v>
      </c>
      <c r="E852" t="s">
        <v>34</v>
      </c>
      <c r="F852" t="s">
        <v>35</v>
      </c>
      <c r="G852" t="s">
        <v>63</v>
      </c>
      <c r="H852" t="s">
        <v>64</v>
      </c>
      <c r="I852" t="s">
        <v>27</v>
      </c>
      <c r="J852" t="s">
        <v>1568</v>
      </c>
      <c r="K852">
        <v>2023</v>
      </c>
      <c r="L852">
        <v>1</v>
      </c>
      <c r="M852">
        <v>7</v>
      </c>
      <c r="N852" t="s">
        <v>85</v>
      </c>
      <c r="O852">
        <v>3</v>
      </c>
      <c r="P852">
        <v>2</v>
      </c>
      <c r="Q852" t="s">
        <v>30</v>
      </c>
      <c r="R852">
        <v>23</v>
      </c>
      <c r="S852">
        <v>46</v>
      </c>
      <c r="T852">
        <v>45888</v>
      </c>
      <c r="U852">
        <v>8600</v>
      </c>
      <c r="V852">
        <v>9.6999999999999993</v>
      </c>
      <c r="W852" t="s">
        <v>31</v>
      </c>
    </row>
    <row r="853" spans="1:23" x14ac:dyDescent="0.3">
      <c r="A853" t="s">
        <v>1569</v>
      </c>
      <c r="B853" t="s">
        <v>1992</v>
      </c>
      <c r="C853">
        <v>33</v>
      </c>
      <c r="D853" t="s">
        <v>41</v>
      </c>
      <c r="E853" t="s">
        <v>71</v>
      </c>
      <c r="F853" t="s">
        <v>62</v>
      </c>
      <c r="G853" t="s">
        <v>36</v>
      </c>
      <c r="H853" t="s">
        <v>89</v>
      </c>
      <c r="I853" t="s">
        <v>27</v>
      </c>
      <c r="J853" t="s">
        <v>1570</v>
      </c>
      <c r="K853">
        <v>2022</v>
      </c>
      <c r="L853">
        <v>2</v>
      </c>
      <c r="M853">
        <v>5</v>
      </c>
      <c r="N853" t="s">
        <v>98</v>
      </c>
      <c r="O853">
        <v>3</v>
      </c>
      <c r="P853">
        <v>3</v>
      </c>
      <c r="Q853" t="s">
        <v>31</v>
      </c>
      <c r="R853">
        <v>17</v>
      </c>
      <c r="S853">
        <v>64</v>
      </c>
      <c r="T853">
        <v>71583</v>
      </c>
      <c r="U853">
        <v>6000</v>
      </c>
      <c r="V853">
        <v>8.1999999999999993</v>
      </c>
      <c r="W853" t="s">
        <v>31</v>
      </c>
    </row>
    <row r="854" spans="1:23" x14ac:dyDescent="0.3">
      <c r="A854" t="s">
        <v>1571</v>
      </c>
      <c r="B854" t="s">
        <v>1889</v>
      </c>
      <c r="C854">
        <v>38</v>
      </c>
      <c r="D854" t="s">
        <v>33</v>
      </c>
      <c r="E854" t="s">
        <v>56</v>
      </c>
      <c r="F854" t="s">
        <v>137</v>
      </c>
      <c r="G854" t="s">
        <v>36</v>
      </c>
      <c r="H854" t="s">
        <v>37</v>
      </c>
      <c r="I854" t="s">
        <v>27</v>
      </c>
      <c r="J854" t="s">
        <v>1572</v>
      </c>
      <c r="K854">
        <v>2022</v>
      </c>
      <c r="L854">
        <v>2</v>
      </c>
      <c r="M854">
        <v>10</v>
      </c>
      <c r="N854" t="s">
        <v>85</v>
      </c>
      <c r="O854">
        <v>4</v>
      </c>
      <c r="P854">
        <v>5</v>
      </c>
      <c r="Q854" t="s">
        <v>30</v>
      </c>
      <c r="R854">
        <v>10</v>
      </c>
      <c r="S854">
        <v>45</v>
      </c>
      <c r="T854">
        <v>80402</v>
      </c>
      <c r="U854">
        <v>15000</v>
      </c>
      <c r="V854">
        <v>8.3000000000000007</v>
      </c>
      <c r="W854" t="s">
        <v>31</v>
      </c>
    </row>
    <row r="855" spans="1:23" x14ac:dyDescent="0.3">
      <c r="A855" t="s">
        <v>1573</v>
      </c>
      <c r="B855" t="s">
        <v>1816</v>
      </c>
      <c r="C855">
        <v>23</v>
      </c>
      <c r="D855" t="s">
        <v>41</v>
      </c>
      <c r="E855" t="s">
        <v>71</v>
      </c>
      <c r="F855" t="s">
        <v>62</v>
      </c>
      <c r="G855" t="s">
        <v>25</v>
      </c>
      <c r="H855" t="s">
        <v>26</v>
      </c>
      <c r="I855" t="s">
        <v>27</v>
      </c>
      <c r="J855" t="s">
        <v>409</v>
      </c>
      <c r="K855">
        <v>2022</v>
      </c>
      <c r="L855">
        <v>2</v>
      </c>
      <c r="M855">
        <v>1</v>
      </c>
      <c r="N855" t="s">
        <v>39</v>
      </c>
      <c r="O855">
        <v>2</v>
      </c>
      <c r="P855">
        <v>1</v>
      </c>
      <c r="Q855" t="s">
        <v>30</v>
      </c>
      <c r="R855">
        <v>2</v>
      </c>
      <c r="S855">
        <v>12</v>
      </c>
      <c r="T855">
        <v>76843</v>
      </c>
      <c r="U855">
        <v>2100</v>
      </c>
      <c r="V855">
        <v>3.5</v>
      </c>
      <c r="W855" t="s">
        <v>31</v>
      </c>
    </row>
    <row r="856" spans="1:23" x14ac:dyDescent="0.3">
      <c r="A856" t="s">
        <v>1574</v>
      </c>
      <c r="B856" t="s">
        <v>2167</v>
      </c>
      <c r="C856">
        <v>39</v>
      </c>
      <c r="D856" t="s">
        <v>33</v>
      </c>
      <c r="E856" t="s">
        <v>71</v>
      </c>
      <c r="F856" t="s">
        <v>75</v>
      </c>
      <c r="G856" t="s">
        <v>63</v>
      </c>
      <c r="H856" t="s">
        <v>225</v>
      </c>
      <c r="I856" t="s">
        <v>27</v>
      </c>
      <c r="J856" t="s">
        <v>599</v>
      </c>
      <c r="K856">
        <v>2021</v>
      </c>
      <c r="L856">
        <v>3</v>
      </c>
      <c r="M856">
        <v>10</v>
      </c>
      <c r="N856" t="s">
        <v>98</v>
      </c>
      <c r="O856">
        <v>3</v>
      </c>
      <c r="P856">
        <v>1</v>
      </c>
      <c r="Q856" t="s">
        <v>31</v>
      </c>
      <c r="R856">
        <v>21</v>
      </c>
      <c r="S856">
        <v>22</v>
      </c>
      <c r="T856">
        <v>36768</v>
      </c>
      <c r="U856">
        <v>2200</v>
      </c>
      <c r="V856">
        <v>10.6</v>
      </c>
      <c r="W856" t="s">
        <v>31</v>
      </c>
    </row>
    <row r="857" spans="1:23" x14ac:dyDescent="0.3">
      <c r="A857" t="s">
        <v>1575</v>
      </c>
      <c r="B857" t="s">
        <v>1977</v>
      </c>
      <c r="C857">
        <v>46</v>
      </c>
      <c r="D857" t="s">
        <v>33</v>
      </c>
      <c r="E857" t="s">
        <v>56</v>
      </c>
      <c r="F857" t="s">
        <v>24</v>
      </c>
      <c r="G857" t="s">
        <v>117</v>
      </c>
      <c r="H857" t="s">
        <v>298</v>
      </c>
      <c r="I857" t="s">
        <v>27</v>
      </c>
      <c r="J857" t="s">
        <v>1016</v>
      </c>
      <c r="K857">
        <v>2022</v>
      </c>
      <c r="L857">
        <v>2</v>
      </c>
      <c r="M857">
        <v>19</v>
      </c>
      <c r="N857" t="s">
        <v>85</v>
      </c>
      <c r="O857">
        <v>2</v>
      </c>
      <c r="P857">
        <v>2</v>
      </c>
      <c r="Q857" t="s">
        <v>30</v>
      </c>
      <c r="R857">
        <v>11</v>
      </c>
      <c r="S857">
        <v>75</v>
      </c>
      <c r="T857">
        <v>58900</v>
      </c>
      <c r="U857">
        <v>13500</v>
      </c>
      <c r="V857">
        <v>12.1</v>
      </c>
      <c r="W857" t="s">
        <v>31</v>
      </c>
    </row>
    <row r="858" spans="1:23" x14ac:dyDescent="0.3">
      <c r="A858" t="s">
        <v>1576</v>
      </c>
      <c r="B858" t="s">
        <v>1989</v>
      </c>
      <c r="C858">
        <v>32</v>
      </c>
      <c r="D858" t="s">
        <v>41</v>
      </c>
      <c r="E858" t="s">
        <v>23</v>
      </c>
      <c r="F858" t="s">
        <v>137</v>
      </c>
      <c r="G858" t="s">
        <v>52</v>
      </c>
      <c r="H858" t="s">
        <v>208</v>
      </c>
      <c r="I858" t="s">
        <v>65</v>
      </c>
      <c r="J858" t="s">
        <v>1577</v>
      </c>
      <c r="K858">
        <v>2023</v>
      </c>
      <c r="L858">
        <v>1</v>
      </c>
      <c r="M858">
        <v>10</v>
      </c>
      <c r="N858" t="s">
        <v>85</v>
      </c>
      <c r="O858">
        <v>5</v>
      </c>
      <c r="P858">
        <v>3</v>
      </c>
      <c r="Q858" t="s">
        <v>31</v>
      </c>
      <c r="R858">
        <v>20</v>
      </c>
      <c r="S858">
        <v>3</v>
      </c>
      <c r="T858">
        <v>77264</v>
      </c>
      <c r="U858">
        <v>15100</v>
      </c>
      <c r="V858">
        <v>5.3</v>
      </c>
      <c r="W858" t="s">
        <v>31</v>
      </c>
    </row>
    <row r="859" spans="1:23" x14ac:dyDescent="0.3">
      <c r="A859" t="s">
        <v>1578</v>
      </c>
      <c r="B859" t="s">
        <v>1950</v>
      </c>
      <c r="C859">
        <v>35</v>
      </c>
      <c r="D859" t="s">
        <v>33</v>
      </c>
      <c r="E859" t="s">
        <v>23</v>
      </c>
      <c r="F859" t="s">
        <v>137</v>
      </c>
      <c r="G859" t="s">
        <v>43</v>
      </c>
      <c r="H859" t="s">
        <v>44</v>
      </c>
      <c r="I859" t="s">
        <v>79</v>
      </c>
      <c r="J859" t="s">
        <v>1411</v>
      </c>
      <c r="K859">
        <v>2021</v>
      </c>
      <c r="L859">
        <v>3</v>
      </c>
      <c r="M859">
        <v>10</v>
      </c>
      <c r="N859" t="s">
        <v>29</v>
      </c>
      <c r="O859">
        <v>4</v>
      </c>
      <c r="P859">
        <v>1</v>
      </c>
      <c r="Q859" t="s">
        <v>30</v>
      </c>
      <c r="R859">
        <v>16</v>
      </c>
      <c r="S859">
        <v>78</v>
      </c>
      <c r="T859">
        <v>71599</v>
      </c>
      <c r="U859">
        <v>10000</v>
      </c>
      <c r="V859">
        <v>4.4000000000000004</v>
      </c>
      <c r="W859" t="s">
        <v>31</v>
      </c>
    </row>
    <row r="860" spans="1:23" x14ac:dyDescent="0.3">
      <c r="A860" t="s">
        <v>1579</v>
      </c>
      <c r="B860" t="s">
        <v>1964</v>
      </c>
      <c r="C860">
        <v>35</v>
      </c>
      <c r="D860" t="s">
        <v>41</v>
      </c>
      <c r="E860" t="s">
        <v>23</v>
      </c>
      <c r="F860" t="s">
        <v>137</v>
      </c>
      <c r="G860" t="s">
        <v>36</v>
      </c>
      <c r="H860" t="s">
        <v>68</v>
      </c>
      <c r="I860" t="s">
        <v>27</v>
      </c>
      <c r="J860" t="s">
        <v>1580</v>
      </c>
      <c r="K860">
        <v>2021</v>
      </c>
      <c r="L860">
        <v>3</v>
      </c>
      <c r="M860">
        <v>11</v>
      </c>
      <c r="N860" t="s">
        <v>29</v>
      </c>
      <c r="O860">
        <v>1</v>
      </c>
      <c r="P860">
        <v>1</v>
      </c>
      <c r="Q860" t="s">
        <v>31</v>
      </c>
      <c r="R860">
        <v>1</v>
      </c>
      <c r="S860">
        <v>52</v>
      </c>
      <c r="T860">
        <v>68538</v>
      </c>
      <c r="U860">
        <v>9000</v>
      </c>
      <c r="V860">
        <v>13.9</v>
      </c>
      <c r="W860" t="s">
        <v>31</v>
      </c>
    </row>
    <row r="861" spans="1:23" x14ac:dyDescent="0.3">
      <c r="A861" t="s">
        <v>1581</v>
      </c>
      <c r="B861" t="s">
        <v>1966</v>
      </c>
      <c r="C861">
        <v>44</v>
      </c>
      <c r="D861" t="s">
        <v>33</v>
      </c>
      <c r="E861" t="s">
        <v>34</v>
      </c>
      <c r="F861" t="s">
        <v>51</v>
      </c>
      <c r="G861" t="s">
        <v>25</v>
      </c>
      <c r="H861" t="s">
        <v>110</v>
      </c>
      <c r="I861" t="s">
        <v>27</v>
      </c>
      <c r="J861" t="s">
        <v>679</v>
      </c>
      <c r="K861">
        <v>2021</v>
      </c>
      <c r="L861">
        <v>3</v>
      </c>
      <c r="M861">
        <v>14</v>
      </c>
      <c r="N861" t="s">
        <v>29</v>
      </c>
      <c r="O861">
        <v>2</v>
      </c>
      <c r="P861">
        <v>2</v>
      </c>
      <c r="Q861" t="s">
        <v>31</v>
      </c>
      <c r="R861">
        <v>21</v>
      </c>
      <c r="S861">
        <v>24</v>
      </c>
      <c r="T861">
        <v>90830</v>
      </c>
      <c r="U861">
        <v>10600</v>
      </c>
      <c r="V861">
        <v>6.2</v>
      </c>
      <c r="W861" t="s">
        <v>31</v>
      </c>
    </row>
    <row r="862" spans="1:23" x14ac:dyDescent="0.3">
      <c r="A862" t="s">
        <v>1582</v>
      </c>
      <c r="B862" t="s">
        <v>1870</v>
      </c>
      <c r="C862">
        <v>42</v>
      </c>
      <c r="D862" t="s">
        <v>41</v>
      </c>
      <c r="E862" t="s">
        <v>71</v>
      </c>
      <c r="F862" t="s">
        <v>137</v>
      </c>
      <c r="G862" t="s">
        <v>63</v>
      </c>
      <c r="H862" t="s">
        <v>337</v>
      </c>
      <c r="I862" t="s">
        <v>27</v>
      </c>
      <c r="J862" t="s">
        <v>544</v>
      </c>
      <c r="K862">
        <v>2022</v>
      </c>
      <c r="L862">
        <v>3</v>
      </c>
      <c r="M862">
        <v>13</v>
      </c>
      <c r="N862" t="s">
        <v>98</v>
      </c>
      <c r="O862">
        <v>2</v>
      </c>
      <c r="P862">
        <v>4</v>
      </c>
      <c r="Q862" t="s">
        <v>31</v>
      </c>
      <c r="R862">
        <v>10</v>
      </c>
      <c r="S862">
        <v>32</v>
      </c>
      <c r="T862">
        <v>59863</v>
      </c>
      <c r="U862">
        <v>3600</v>
      </c>
      <c r="V862">
        <v>6.9</v>
      </c>
      <c r="W862" t="s">
        <v>31</v>
      </c>
    </row>
    <row r="863" spans="1:23" x14ac:dyDescent="0.3">
      <c r="A863" t="s">
        <v>1583</v>
      </c>
      <c r="B863" t="s">
        <v>2050</v>
      </c>
      <c r="C863">
        <v>33</v>
      </c>
      <c r="D863" t="s">
        <v>33</v>
      </c>
      <c r="E863" t="s">
        <v>71</v>
      </c>
      <c r="F863" t="s">
        <v>24</v>
      </c>
      <c r="G863" t="s">
        <v>43</v>
      </c>
      <c r="H863" t="s">
        <v>44</v>
      </c>
      <c r="I863" t="s">
        <v>79</v>
      </c>
      <c r="J863" t="s">
        <v>1584</v>
      </c>
      <c r="K863">
        <v>2021</v>
      </c>
      <c r="L863">
        <v>3</v>
      </c>
      <c r="M863">
        <v>9</v>
      </c>
      <c r="N863" t="s">
        <v>98</v>
      </c>
      <c r="O863">
        <v>1</v>
      </c>
      <c r="P863">
        <v>1</v>
      </c>
      <c r="Q863" t="s">
        <v>30</v>
      </c>
      <c r="R863">
        <v>23</v>
      </c>
      <c r="S863">
        <v>4</v>
      </c>
      <c r="T863">
        <v>94480</v>
      </c>
      <c r="U863">
        <v>6800</v>
      </c>
      <c r="V863">
        <v>12.3</v>
      </c>
      <c r="W863" t="s">
        <v>31</v>
      </c>
    </row>
    <row r="864" spans="1:23" x14ac:dyDescent="0.3">
      <c r="A864" t="s">
        <v>1585</v>
      </c>
      <c r="B864" t="s">
        <v>2003</v>
      </c>
      <c r="C864">
        <v>31</v>
      </c>
      <c r="D864" t="s">
        <v>33</v>
      </c>
      <c r="E864" t="s">
        <v>71</v>
      </c>
      <c r="F864" t="s">
        <v>153</v>
      </c>
      <c r="G864" t="s">
        <v>25</v>
      </c>
      <c r="H864" t="s">
        <v>26</v>
      </c>
      <c r="I864" t="s">
        <v>27</v>
      </c>
      <c r="J864" t="s">
        <v>1586</v>
      </c>
      <c r="K864">
        <v>2021</v>
      </c>
      <c r="L864">
        <v>3</v>
      </c>
      <c r="M864">
        <v>1</v>
      </c>
      <c r="N864" t="s">
        <v>29</v>
      </c>
      <c r="O864">
        <v>2</v>
      </c>
      <c r="P864">
        <v>5</v>
      </c>
      <c r="Q864" t="s">
        <v>30</v>
      </c>
      <c r="R864">
        <v>0</v>
      </c>
      <c r="S864">
        <v>36</v>
      </c>
      <c r="T864">
        <v>82132</v>
      </c>
      <c r="U864">
        <v>8800</v>
      </c>
      <c r="V864">
        <v>4.8</v>
      </c>
      <c r="W864" t="s">
        <v>31</v>
      </c>
    </row>
    <row r="865" spans="1:23" x14ac:dyDescent="0.3">
      <c r="A865" t="s">
        <v>1587</v>
      </c>
      <c r="B865" t="s">
        <v>2203</v>
      </c>
      <c r="C865">
        <v>49</v>
      </c>
      <c r="D865" t="s">
        <v>33</v>
      </c>
      <c r="E865" t="s">
        <v>61</v>
      </c>
      <c r="F865" t="s">
        <v>62</v>
      </c>
      <c r="G865" t="s">
        <v>63</v>
      </c>
      <c r="H865" t="s">
        <v>337</v>
      </c>
      <c r="I865" t="s">
        <v>27</v>
      </c>
      <c r="J865" t="s">
        <v>812</v>
      </c>
      <c r="K865">
        <v>2024</v>
      </c>
      <c r="L865">
        <v>0</v>
      </c>
      <c r="M865">
        <v>19</v>
      </c>
      <c r="N865" t="s">
        <v>29</v>
      </c>
      <c r="O865">
        <v>3</v>
      </c>
      <c r="P865">
        <v>2</v>
      </c>
      <c r="Q865" t="s">
        <v>31</v>
      </c>
      <c r="R865">
        <v>12</v>
      </c>
      <c r="S865">
        <v>5</v>
      </c>
      <c r="T865">
        <v>52794</v>
      </c>
      <c r="U865">
        <v>7200</v>
      </c>
      <c r="V865">
        <v>13.3</v>
      </c>
      <c r="W865" t="s">
        <v>30</v>
      </c>
    </row>
    <row r="866" spans="1:23" x14ac:dyDescent="0.3">
      <c r="A866" t="s">
        <v>1588</v>
      </c>
      <c r="B866" t="s">
        <v>2102</v>
      </c>
      <c r="C866">
        <v>34</v>
      </c>
      <c r="D866" t="s">
        <v>33</v>
      </c>
      <c r="E866" t="s">
        <v>34</v>
      </c>
      <c r="F866" t="s">
        <v>35</v>
      </c>
      <c r="G866" t="s">
        <v>36</v>
      </c>
      <c r="H866" t="s">
        <v>37</v>
      </c>
      <c r="I866" t="s">
        <v>27</v>
      </c>
      <c r="J866" t="s">
        <v>1589</v>
      </c>
      <c r="K866">
        <v>2022</v>
      </c>
      <c r="L866">
        <v>2</v>
      </c>
      <c r="M866">
        <v>5</v>
      </c>
      <c r="N866" t="s">
        <v>85</v>
      </c>
      <c r="O866">
        <v>4</v>
      </c>
      <c r="P866">
        <v>1</v>
      </c>
      <c r="Q866" t="s">
        <v>31</v>
      </c>
      <c r="R866">
        <v>2</v>
      </c>
      <c r="S866">
        <v>44</v>
      </c>
      <c r="T866">
        <v>79122</v>
      </c>
      <c r="U866">
        <v>14300</v>
      </c>
      <c r="V866">
        <v>14.8</v>
      </c>
      <c r="W866" t="s">
        <v>31</v>
      </c>
    </row>
    <row r="867" spans="1:23" x14ac:dyDescent="0.3">
      <c r="A867" t="s">
        <v>1590</v>
      </c>
      <c r="B867" t="s">
        <v>2030</v>
      </c>
      <c r="C867">
        <v>38</v>
      </c>
      <c r="D867" t="s">
        <v>41</v>
      </c>
      <c r="E867" t="s">
        <v>34</v>
      </c>
      <c r="F867" t="s">
        <v>42</v>
      </c>
      <c r="G867" t="s">
        <v>52</v>
      </c>
      <c r="H867" t="s">
        <v>53</v>
      </c>
      <c r="I867" t="s">
        <v>27</v>
      </c>
      <c r="J867" t="s">
        <v>1030</v>
      </c>
      <c r="K867">
        <v>2021</v>
      </c>
      <c r="L867">
        <v>3</v>
      </c>
      <c r="M867">
        <v>14</v>
      </c>
      <c r="N867" t="s">
        <v>98</v>
      </c>
      <c r="O867">
        <v>4</v>
      </c>
      <c r="P867">
        <v>1</v>
      </c>
      <c r="Q867" t="s">
        <v>31</v>
      </c>
      <c r="R867">
        <v>21</v>
      </c>
      <c r="S867">
        <v>46</v>
      </c>
      <c r="T867">
        <v>84845</v>
      </c>
      <c r="U867">
        <v>5200</v>
      </c>
      <c r="V867">
        <v>7.2</v>
      </c>
      <c r="W867" t="s">
        <v>31</v>
      </c>
    </row>
    <row r="868" spans="1:23" x14ac:dyDescent="0.3">
      <c r="A868" t="s">
        <v>1591</v>
      </c>
      <c r="B868" t="s">
        <v>1840</v>
      </c>
      <c r="C868">
        <v>39</v>
      </c>
      <c r="D868" t="s">
        <v>41</v>
      </c>
      <c r="E868" t="s">
        <v>71</v>
      </c>
      <c r="F868" t="s">
        <v>35</v>
      </c>
      <c r="G868" t="s">
        <v>43</v>
      </c>
      <c r="H868" t="s">
        <v>72</v>
      </c>
      <c r="I868" t="s">
        <v>27</v>
      </c>
      <c r="J868" t="s">
        <v>1363</v>
      </c>
      <c r="K868">
        <v>2024</v>
      </c>
      <c r="L868">
        <v>0</v>
      </c>
      <c r="M868">
        <v>12</v>
      </c>
      <c r="N868" t="s">
        <v>98</v>
      </c>
      <c r="O868">
        <v>1</v>
      </c>
      <c r="P868">
        <v>4</v>
      </c>
      <c r="Q868" t="s">
        <v>31</v>
      </c>
      <c r="R868">
        <v>17</v>
      </c>
      <c r="S868">
        <v>66</v>
      </c>
      <c r="T868">
        <v>80689</v>
      </c>
      <c r="U868">
        <v>6500</v>
      </c>
      <c r="V868">
        <v>9.8000000000000007</v>
      </c>
      <c r="W868" t="s">
        <v>31</v>
      </c>
    </row>
    <row r="869" spans="1:23" x14ac:dyDescent="0.3">
      <c r="A869" t="s">
        <v>1592</v>
      </c>
      <c r="B869" t="s">
        <v>2176</v>
      </c>
      <c r="C869">
        <v>43</v>
      </c>
      <c r="D869" t="s">
        <v>33</v>
      </c>
      <c r="E869" t="s">
        <v>34</v>
      </c>
      <c r="F869" t="s">
        <v>42</v>
      </c>
      <c r="G869" t="s">
        <v>43</v>
      </c>
      <c r="H869" t="s">
        <v>72</v>
      </c>
      <c r="I869" t="s">
        <v>27</v>
      </c>
      <c r="J869" t="s">
        <v>1409</v>
      </c>
      <c r="K869">
        <v>2023</v>
      </c>
      <c r="L869">
        <v>1</v>
      </c>
      <c r="M869">
        <v>18</v>
      </c>
      <c r="N869" t="s">
        <v>29</v>
      </c>
      <c r="O869">
        <v>3</v>
      </c>
      <c r="P869">
        <v>1</v>
      </c>
      <c r="Q869" t="s">
        <v>30</v>
      </c>
      <c r="R869">
        <v>21</v>
      </c>
      <c r="S869">
        <v>12</v>
      </c>
      <c r="T869">
        <v>119209</v>
      </c>
      <c r="U869">
        <v>12300</v>
      </c>
      <c r="V869">
        <v>13.9</v>
      </c>
      <c r="W869" t="s">
        <v>31</v>
      </c>
    </row>
    <row r="870" spans="1:23" x14ac:dyDescent="0.3">
      <c r="A870" t="s">
        <v>1593</v>
      </c>
      <c r="B870" t="s">
        <v>2204</v>
      </c>
      <c r="C870">
        <v>36</v>
      </c>
      <c r="D870" t="s">
        <v>41</v>
      </c>
      <c r="E870" t="s">
        <v>34</v>
      </c>
      <c r="F870" t="s">
        <v>35</v>
      </c>
      <c r="G870" t="s">
        <v>36</v>
      </c>
      <c r="H870" t="s">
        <v>37</v>
      </c>
      <c r="I870" t="s">
        <v>27</v>
      </c>
      <c r="J870" t="s">
        <v>1594</v>
      </c>
      <c r="K870">
        <v>2022</v>
      </c>
      <c r="L870">
        <v>2</v>
      </c>
      <c r="M870">
        <v>6</v>
      </c>
      <c r="N870" t="s">
        <v>29</v>
      </c>
      <c r="O870">
        <v>1</v>
      </c>
      <c r="P870">
        <v>3</v>
      </c>
      <c r="Q870" t="s">
        <v>31</v>
      </c>
      <c r="R870">
        <v>8</v>
      </c>
      <c r="S870">
        <v>62</v>
      </c>
      <c r="T870">
        <v>64303</v>
      </c>
      <c r="U870">
        <v>8100</v>
      </c>
      <c r="V870">
        <v>13.1</v>
      </c>
      <c r="W870" t="s">
        <v>31</v>
      </c>
    </row>
    <row r="871" spans="1:23" x14ac:dyDescent="0.3">
      <c r="A871" t="s">
        <v>1595</v>
      </c>
      <c r="B871" t="s">
        <v>2141</v>
      </c>
      <c r="C871">
        <v>37</v>
      </c>
      <c r="D871" t="s">
        <v>33</v>
      </c>
      <c r="E871" t="s">
        <v>71</v>
      </c>
      <c r="F871" t="s">
        <v>137</v>
      </c>
      <c r="G871" t="s">
        <v>82</v>
      </c>
      <c r="H871" t="s">
        <v>138</v>
      </c>
      <c r="I871" t="s">
        <v>27</v>
      </c>
      <c r="J871" t="s">
        <v>1432</v>
      </c>
      <c r="K871">
        <v>2021</v>
      </c>
      <c r="L871">
        <v>3</v>
      </c>
      <c r="M871">
        <v>12</v>
      </c>
      <c r="N871" t="s">
        <v>85</v>
      </c>
      <c r="O871">
        <v>2</v>
      </c>
      <c r="P871">
        <v>2</v>
      </c>
      <c r="Q871" t="s">
        <v>30</v>
      </c>
      <c r="R871">
        <v>4</v>
      </c>
      <c r="S871">
        <v>16</v>
      </c>
      <c r="T871">
        <v>89114</v>
      </c>
      <c r="U871">
        <v>18700</v>
      </c>
      <c r="V871">
        <v>3.2</v>
      </c>
      <c r="W871" t="s">
        <v>30</v>
      </c>
    </row>
    <row r="872" spans="1:23" x14ac:dyDescent="0.3">
      <c r="A872" t="s">
        <v>1596</v>
      </c>
      <c r="B872" t="s">
        <v>2111</v>
      </c>
      <c r="C872">
        <v>35</v>
      </c>
      <c r="D872" t="s">
        <v>41</v>
      </c>
      <c r="E872" t="s">
        <v>71</v>
      </c>
      <c r="F872" t="s">
        <v>153</v>
      </c>
      <c r="G872" t="s">
        <v>100</v>
      </c>
      <c r="H872" t="s">
        <v>129</v>
      </c>
      <c r="I872" t="s">
        <v>27</v>
      </c>
      <c r="J872" t="s">
        <v>1597</v>
      </c>
      <c r="K872">
        <v>2022</v>
      </c>
      <c r="L872">
        <v>2</v>
      </c>
      <c r="M872">
        <v>8</v>
      </c>
      <c r="N872" t="s">
        <v>98</v>
      </c>
      <c r="O872">
        <v>2</v>
      </c>
      <c r="P872">
        <v>1</v>
      </c>
      <c r="Q872" t="s">
        <v>31</v>
      </c>
      <c r="R872">
        <v>21</v>
      </c>
      <c r="S872">
        <v>7</v>
      </c>
      <c r="T872">
        <v>42715</v>
      </c>
      <c r="U872">
        <v>3300</v>
      </c>
      <c r="V872">
        <v>9</v>
      </c>
      <c r="W872" t="s">
        <v>31</v>
      </c>
    </row>
    <row r="873" spans="1:23" x14ac:dyDescent="0.3">
      <c r="A873" t="s">
        <v>1598</v>
      </c>
      <c r="B873" t="s">
        <v>2205</v>
      </c>
      <c r="C873">
        <v>40</v>
      </c>
      <c r="D873" t="s">
        <v>33</v>
      </c>
      <c r="E873" t="s">
        <v>56</v>
      </c>
      <c r="F873" t="s">
        <v>62</v>
      </c>
      <c r="G873" t="s">
        <v>52</v>
      </c>
      <c r="H873" t="s">
        <v>208</v>
      </c>
      <c r="I873" t="s">
        <v>27</v>
      </c>
      <c r="J873" t="s">
        <v>1599</v>
      </c>
      <c r="K873">
        <v>2024</v>
      </c>
      <c r="L873">
        <v>0</v>
      </c>
      <c r="M873">
        <v>12</v>
      </c>
      <c r="N873" t="s">
        <v>29</v>
      </c>
      <c r="O873">
        <v>1</v>
      </c>
      <c r="P873">
        <v>4</v>
      </c>
      <c r="Q873" t="s">
        <v>31</v>
      </c>
      <c r="R873">
        <v>9</v>
      </c>
      <c r="S873">
        <v>48</v>
      </c>
      <c r="T873">
        <v>51288</v>
      </c>
      <c r="U873">
        <v>5500</v>
      </c>
      <c r="V873">
        <v>12.2</v>
      </c>
      <c r="W873" t="s">
        <v>31</v>
      </c>
    </row>
    <row r="874" spans="1:23" x14ac:dyDescent="0.3">
      <c r="A874" t="s">
        <v>1600</v>
      </c>
      <c r="B874" t="s">
        <v>2004</v>
      </c>
      <c r="C874">
        <v>27</v>
      </c>
      <c r="D874" t="s">
        <v>33</v>
      </c>
      <c r="E874" t="s">
        <v>34</v>
      </c>
      <c r="F874" t="s">
        <v>57</v>
      </c>
      <c r="G874" t="s">
        <v>36</v>
      </c>
      <c r="H874" t="s">
        <v>76</v>
      </c>
      <c r="I874" t="s">
        <v>79</v>
      </c>
      <c r="J874" t="s">
        <v>1601</v>
      </c>
      <c r="K874">
        <v>2022</v>
      </c>
      <c r="L874">
        <v>2</v>
      </c>
      <c r="M874">
        <v>1</v>
      </c>
      <c r="N874" t="s">
        <v>29</v>
      </c>
      <c r="O874">
        <v>2</v>
      </c>
      <c r="P874">
        <v>1</v>
      </c>
      <c r="Q874" t="s">
        <v>30</v>
      </c>
      <c r="R874">
        <v>13</v>
      </c>
      <c r="S874">
        <v>62</v>
      </c>
      <c r="T874">
        <v>93619</v>
      </c>
      <c r="U874">
        <v>10200</v>
      </c>
      <c r="V874">
        <v>10.4</v>
      </c>
      <c r="W874" t="s">
        <v>31</v>
      </c>
    </row>
    <row r="875" spans="1:23" x14ac:dyDescent="0.3">
      <c r="A875" t="s">
        <v>1602</v>
      </c>
      <c r="B875" t="s">
        <v>1880</v>
      </c>
      <c r="C875">
        <v>42</v>
      </c>
      <c r="D875" t="s">
        <v>41</v>
      </c>
      <c r="E875" t="s">
        <v>23</v>
      </c>
      <c r="F875" t="s">
        <v>153</v>
      </c>
      <c r="G875" t="s">
        <v>36</v>
      </c>
      <c r="H875" t="s">
        <v>76</v>
      </c>
      <c r="I875" t="s">
        <v>27</v>
      </c>
      <c r="J875" t="s">
        <v>1603</v>
      </c>
      <c r="K875">
        <v>2023</v>
      </c>
      <c r="L875">
        <v>1</v>
      </c>
      <c r="M875">
        <v>13</v>
      </c>
      <c r="N875" t="s">
        <v>29</v>
      </c>
      <c r="O875">
        <v>1</v>
      </c>
      <c r="P875">
        <v>3</v>
      </c>
      <c r="Q875" t="s">
        <v>31</v>
      </c>
      <c r="R875">
        <v>18</v>
      </c>
      <c r="S875">
        <v>36</v>
      </c>
      <c r="T875">
        <v>47659</v>
      </c>
      <c r="U875">
        <v>6200</v>
      </c>
      <c r="V875">
        <v>14.2</v>
      </c>
      <c r="W875" t="s">
        <v>30</v>
      </c>
    </row>
    <row r="876" spans="1:23" x14ac:dyDescent="0.3">
      <c r="A876" t="s">
        <v>1604</v>
      </c>
      <c r="B876" t="s">
        <v>1987</v>
      </c>
      <c r="C876">
        <v>35</v>
      </c>
      <c r="D876" t="s">
        <v>41</v>
      </c>
      <c r="E876" t="s">
        <v>71</v>
      </c>
      <c r="F876" t="s">
        <v>35</v>
      </c>
      <c r="G876" t="s">
        <v>63</v>
      </c>
      <c r="H876" t="s">
        <v>337</v>
      </c>
      <c r="I876" t="s">
        <v>79</v>
      </c>
      <c r="J876" t="s">
        <v>1605</v>
      </c>
      <c r="K876">
        <v>2024</v>
      </c>
      <c r="L876">
        <v>0</v>
      </c>
      <c r="M876">
        <v>10</v>
      </c>
      <c r="N876" t="s">
        <v>29</v>
      </c>
      <c r="O876">
        <v>4</v>
      </c>
      <c r="P876">
        <v>2</v>
      </c>
      <c r="Q876" t="s">
        <v>31</v>
      </c>
      <c r="R876">
        <v>13</v>
      </c>
      <c r="S876">
        <v>15</v>
      </c>
      <c r="T876">
        <v>53597</v>
      </c>
      <c r="U876">
        <v>5200</v>
      </c>
      <c r="V876">
        <v>10.8</v>
      </c>
      <c r="W876" t="s">
        <v>31</v>
      </c>
    </row>
    <row r="877" spans="1:23" x14ac:dyDescent="0.3">
      <c r="A877" t="s">
        <v>1606</v>
      </c>
      <c r="B877" t="s">
        <v>2067</v>
      </c>
      <c r="C877">
        <v>32</v>
      </c>
      <c r="D877" t="s">
        <v>41</v>
      </c>
      <c r="E877" t="s">
        <v>56</v>
      </c>
      <c r="F877" t="s">
        <v>137</v>
      </c>
      <c r="G877" t="s">
        <v>100</v>
      </c>
      <c r="H877" t="s">
        <v>150</v>
      </c>
      <c r="I877" t="s">
        <v>27</v>
      </c>
      <c r="J877" t="s">
        <v>1607</v>
      </c>
      <c r="K877">
        <v>2022</v>
      </c>
      <c r="L877">
        <v>2</v>
      </c>
      <c r="M877">
        <v>5</v>
      </c>
      <c r="N877" t="s">
        <v>98</v>
      </c>
      <c r="O877">
        <v>4</v>
      </c>
      <c r="P877">
        <v>5</v>
      </c>
      <c r="Q877" t="s">
        <v>31</v>
      </c>
      <c r="R877">
        <v>21</v>
      </c>
      <c r="S877">
        <v>79</v>
      </c>
      <c r="T877">
        <v>76359</v>
      </c>
      <c r="U877">
        <v>4800</v>
      </c>
      <c r="V877">
        <v>4.8</v>
      </c>
      <c r="W877" t="s">
        <v>31</v>
      </c>
    </row>
    <row r="878" spans="1:23" x14ac:dyDescent="0.3">
      <c r="A878" t="s">
        <v>1608</v>
      </c>
      <c r="B878" t="s">
        <v>2003</v>
      </c>
      <c r="C878">
        <v>33</v>
      </c>
      <c r="D878" t="s">
        <v>33</v>
      </c>
      <c r="E878" t="s">
        <v>71</v>
      </c>
      <c r="F878" t="s">
        <v>47</v>
      </c>
      <c r="G878" t="s">
        <v>43</v>
      </c>
      <c r="H878" t="s">
        <v>72</v>
      </c>
      <c r="I878" t="s">
        <v>65</v>
      </c>
      <c r="J878" t="s">
        <v>1609</v>
      </c>
      <c r="K878">
        <v>2022</v>
      </c>
      <c r="L878">
        <v>2</v>
      </c>
      <c r="M878">
        <v>10</v>
      </c>
      <c r="N878" t="s">
        <v>29</v>
      </c>
      <c r="O878">
        <v>2</v>
      </c>
      <c r="P878">
        <v>3</v>
      </c>
      <c r="Q878" t="s">
        <v>30</v>
      </c>
      <c r="R878">
        <v>21</v>
      </c>
      <c r="S878">
        <v>7</v>
      </c>
      <c r="T878">
        <v>119842</v>
      </c>
      <c r="U878">
        <v>12700</v>
      </c>
      <c r="V878">
        <v>7.1</v>
      </c>
      <c r="W878" t="s">
        <v>31</v>
      </c>
    </row>
    <row r="879" spans="1:23" x14ac:dyDescent="0.3">
      <c r="A879" t="s">
        <v>1610</v>
      </c>
      <c r="B879" t="s">
        <v>2127</v>
      </c>
      <c r="C879">
        <v>27</v>
      </c>
      <c r="D879" t="s">
        <v>33</v>
      </c>
      <c r="E879" t="s">
        <v>34</v>
      </c>
      <c r="F879" t="s">
        <v>47</v>
      </c>
      <c r="G879" t="s">
        <v>63</v>
      </c>
      <c r="H879" t="s">
        <v>337</v>
      </c>
      <c r="I879" t="s">
        <v>27</v>
      </c>
      <c r="J879" t="s">
        <v>696</v>
      </c>
      <c r="K879">
        <v>2023</v>
      </c>
      <c r="L879">
        <v>1</v>
      </c>
      <c r="M879">
        <v>2</v>
      </c>
      <c r="N879" t="s">
        <v>98</v>
      </c>
      <c r="O879">
        <v>4</v>
      </c>
      <c r="P879">
        <v>4</v>
      </c>
      <c r="Q879" t="s">
        <v>31</v>
      </c>
      <c r="R879">
        <v>22</v>
      </c>
      <c r="S879">
        <v>72</v>
      </c>
      <c r="T879">
        <v>58147</v>
      </c>
      <c r="U879">
        <v>4600</v>
      </c>
      <c r="V879">
        <v>9.3000000000000007</v>
      </c>
      <c r="W879" t="s">
        <v>31</v>
      </c>
    </row>
    <row r="880" spans="1:23" x14ac:dyDescent="0.3">
      <c r="A880" t="s">
        <v>1611</v>
      </c>
      <c r="B880" t="s">
        <v>2204</v>
      </c>
      <c r="C880">
        <v>36</v>
      </c>
      <c r="D880" t="s">
        <v>41</v>
      </c>
      <c r="E880" t="s">
        <v>56</v>
      </c>
      <c r="F880" t="s">
        <v>62</v>
      </c>
      <c r="G880" t="s">
        <v>36</v>
      </c>
      <c r="H880" t="s">
        <v>68</v>
      </c>
      <c r="I880" t="s">
        <v>27</v>
      </c>
      <c r="J880" t="s">
        <v>357</v>
      </c>
      <c r="K880">
        <v>2024</v>
      </c>
      <c r="L880">
        <v>0</v>
      </c>
      <c r="M880">
        <v>9</v>
      </c>
      <c r="N880" t="s">
        <v>39</v>
      </c>
      <c r="O880">
        <v>4</v>
      </c>
      <c r="P880">
        <v>1</v>
      </c>
      <c r="Q880" t="s">
        <v>31</v>
      </c>
      <c r="R880">
        <v>13</v>
      </c>
      <c r="S880">
        <v>26</v>
      </c>
      <c r="T880">
        <v>68625</v>
      </c>
      <c r="U880">
        <v>2000</v>
      </c>
      <c r="V880">
        <v>9.8000000000000007</v>
      </c>
      <c r="W880" t="s">
        <v>31</v>
      </c>
    </row>
    <row r="881" spans="1:23" x14ac:dyDescent="0.3">
      <c r="A881" t="s">
        <v>1612</v>
      </c>
      <c r="B881" t="s">
        <v>2206</v>
      </c>
      <c r="C881">
        <v>40</v>
      </c>
      <c r="D881" t="s">
        <v>41</v>
      </c>
      <c r="E881" t="s">
        <v>71</v>
      </c>
      <c r="F881" t="s">
        <v>62</v>
      </c>
      <c r="G881" t="s">
        <v>82</v>
      </c>
      <c r="H881" t="s">
        <v>138</v>
      </c>
      <c r="I881" t="s">
        <v>27</v>
      </c>
      <c r="J881" t="s">
        <v>308</v>
      </c>
      <c r="K881">
        <v>2023</v>
      </c>
      <c r="L881">
        <v>1</v>
      </c>
      <c r="M881">
        <v>18</v>
      </c>
      <c r="N881" t="s">
        <v>39</v>
      </c>
      <c r="O881">
        <v>3</v>
      </c>
      <c r="P881">
        <v>5</v>
      </c>
      <c r="Q881" t="s">
        <v>31</v>
      </c>
      <c r="R881">
        <v>12</v>
      </c>
      <c r="S881">
        <v>50</v>
      </c>
      <c r="T881">
        <v>85522</v>
      </c>
      <c r="U881">
        <v>2400</v>
      </c>
      <c r="V881">
        <v>4.0999999999999996</v>
      </c>
      <c r="W881" t="s">
        <v>30</v>
      </c>
    </row>
    <row r="882" spans="1:23" x14ac:dyDescent="0.3">
      <c r="A882" t="s">
        <v>1613</v>
      </c>
      <c r="B882" t="s">
        <v>1907</v>
      </c>
      <c r="C882">
        <v>33</v>
      </c>
      <c r="D882" t="s">
        <v>33</v>
      </c>
      <c r="E882" t="s">
        <v>34</v>
      </c>
      <c r="F882" t="s">
        <v>47</v>
      </c>
      <c r="G882" t="s">
        <v>43</v>
      </c>
      <c r="H882" t="s">
        <v>96</v>
      </c>
      <c r="I882" t="s">
        <v>27</v>
      </c>
      <c r="J882" t="s">
        <v>1614</v>
      </c>
      <c r="K882">
        <v>2022</v>
      </c>
      <c r="L882">
        <v>2</v>
      </c>
      <c r="M882">
        <v>9</v>
      </c>
      <c r="N882" t="s">
        <v>29</v>
      </c>
      <c r="O882">
        <v>5</v>
      </c>
      <c r="P882">
        <v>2</v>
      </c>
      <c r="Q882" t="s">
        <v>31</v>
      </c>
      <c r="R882">
        <v>7</v>
      </c>
      <c r="S882">
        <v>20</v>
      </c>
      <c r="T882">
        <v>85553</v>
      </c>
      <c r="U882">
        <v>9800</v>
      </c>
      <c r="V882">
        <v>14.2</v>
      </c>
      <c r="W882" t="s">
        <v>31</v>
      </c>
    </row>
    <row r="883" spans="1:23" x14ac:dyDescent="0.3">
      <c r="A883" t="s">
        <v>1615</v>
      </c>
      <c r="B883" t="s">
        <v>2169</v>
      </c>
      <c r="C883">
        <v>31</v>
      </c>
      <c r="D883" t="s">
        <v>33</v>
      </c>
      <c r="E883" t="s">
        <v>71</v>
      </c>
      <c r="F883" t="s">
        <v>137</v>
      </c>
      <c r="G883" t="s">
        <v>43</v>
      </c>
      <c r="H883" t="s">
        <v>48</v>
      </c>
      <c r="I883" t="s">
        <v>27</v>
      </c>
      <c r="J883" t="s">
        <v>1616</v>
      </c>
      <c r="K883">
        <v>2023</v>
      </c>
      <c r="L883">
        <v>1</v>
      </c>
      <c r="M883">
        <v>2</v>
      </c>
      <c r="N883" t="s">
        <v>98</v>
      </c>
      <c r="O883">
        <v>1</v>
      </c>
      <c r="P883">
        <v>4</v>
      </c>
      <c r="Q883" t="s">
        <v>31</v>
      </c>
      <c r="R883">
        <v>16</v>
      </c>
      <c r="S883">
        <v>45</v>
      </c>
      <c r="T883">
        <v>98837</v>
      </c>
      <c r="U883">
        <v>6800</v>
      </c>
      <c r="V883">
        <v>4.3</v>
      </c>
      <c r="W883" t="s">
        <v>31</v>
      </c>
    </row>
    <row r="884" spans="1:23" x14ac:dyDescent="0.3">
      <c r="A884" t="s">
        <v>1617</v>
      </c>
      <c r="B884" t="s">
        <v>2005</v>
      </c>
      <c r="C884">
        <v>38</v>
      </c>
      <c r="D884" t="s">
        <v>41</v>
      </c>
      <c r="E884" t="s">
        <v>56</v>
      </c>
      <c r="F884" t="s">
        <v>35</v>
      </c>
      <c r="G884" t="s">
        <v>36</v>
      </c>
      <c r="H884" t="s">
        <v>37</v>
      </c>
      <c r="I884" t="s">
        <v>27</v>
      </c>
      <c r="J884" t="s">
        <v>1618</v>
      </c>
      <c r="K884">
        <v>2023</v>
      </c>
      <c r="L884">
        <v>1</v>
      </c>
      <c r="M884">
        <v>15</v>
      </c>
      <c r="N884" t="s">
        <v>29</v>
      </c>
      <c r="O884">
        <v>5</v>
      </c>
      <c r="P884">
        <v>4</v>
      </c>
      <c r="Q884" t="s">
        <v>30</v>
      </c>
      <c r="R884">
        <v>8</v>
      </c>
      <c r="S884">
        <v>34</v>
      </c>
      <c r="T884">
        <v>81502</v>
      </c>
      <c r="U884">
        <v>8400</v>
      </c>
      <c r="V884">
        <v>7.4</v>
      </c>
      <c r="W884" t="s">
        <v>31</v>
      </c>
    </row>
    <row r="885" spans="1:23" x14ac:dyDescent="0.3">
      <c r="A885" t="s">
        <v>1619</v>
      </c>
      <c r="B885" t="s">
        <v>2100</v>
      </c>
      <c r="C885">
        <v>31</v>
      </c>
      <c r="D885" t="s">
        <v>41</v>
      </c>
      <c r="E885" t="s">
        <v>34</v>
      </c>
      <c r="F885" t="s">
        <v>62</v>
      </c>
      <c r="G885" t="s">
        <v>52</v>
      </c>
      <c r="H885" t="s">
        <v>320</v>
      </c>
      <c r="I885" t="s">
        <v>27</v>
      </c>
      <c r="J885" t="s">
        <v>393</v>
      </c>
      <c r="K885">
        <v>2022</v>
      </c>
      <c r="L885">
        <v>2</v>
      </c>
      <c r="M885">
        <v>1</v>
      </c>
      <c r="N885" t="s">
        <v>98</v>
      </c>
      <c r="O885">
        <v>3</v>
      </c>
      <c r="P885">
        <v>4</v>
      </c>
      <c r="Q885" t="s">
        <v>31</v>
      </c>
      <c r="R885">
        <v>6</v>
      </c>
      <c r="S885">
        <v>24</v>
      </c>
      <c r="T885">
        <v>67376</v>
      </c>
      <c r="U885">
        <v>5300</v>
      </c>
      <c r="V885">
        <v>5.7</v>
      </c>
      <c r="W885" t="s">
        <v>31</v>
      </c>
    </row>
    <row r="886" spans="1:23" x14ac:dyDescent="0.3">
      <c r="A886" t="s">
        <v>1620</v>
      </c>
      <c r="B886" t="s">
        <v>2044</v>
      </c>
      <c r="C886">
        <v>29</v>
      </c>
      <c r="D886" t="s">
        <v>41</v>
      </c>
      <c r="E886" t="s">
        <v>61</v>
      </c>
      <c r="F886" t="s">
        <v>42</v>
      </c>
      <c r="G886" t="s">
        <v>63</v>
      </c>
      <c r="H886" t="s">
        <v>225</v>
      </c>
      <c r="I886" t="s">
        <v>27</v>
      </c>
      <c r="J886" t="s">
        <v>1621</v>
      </c>
      <c r="K886">
        <v>2021</v>
      </c>
      <c r="L886">
        <v>3</v>
      </c>
      <c r="M886">
        <v>2</v>
      </c>
      <c r="N886" t="s">
        <v>29</v>
      </c>
      <c r="O886">
        <v>1</v>
      </c>
      <c r="P886">
        <v>1</v>
      </c>
      <c r="Q886" t="s">
        <v>31</v>
      </c>
      <c r="R886">
        <v>0</v>
      </c>
      <c r="S886">
        <v>19</v>
      </c>
      <c r="T886">
        <v>61662</v>
      </c>
      <c r="U886">
        <v>7500</v>
      </c>
      <c r="V886">
        <v>3.3</v>
      </c>
      <c r="W886" t="s">
        <v>31</v>
      </c>
    </row>
    <row r="887" spans="1:23" x14ac:dyDescent="0.3">
      <c r="A887" t="s">
        <v>1622</v>
      </c>
      <c r="B887" t="s">
        <v>1940</v>
      </c>
      <c r="C887">
        <v>33</v>
      </c>
      <c r="D887" t="s">
        <v>33</v>
      </c>
      <c r="E887" t="s">
        <v>71</v>
      </c>
      <c r="F887" t="s">
        <v>57</v>
      </c>
      <c r="G887" t="s">
        <v>25</v>
      </c>
      <c r="H887" t="s">
        <v>110</v>
      </c>
      <c r="I887" t="s">
        <v>27</v>
      </c>
      <c r="J887" t="s">
        <v>889</v>
      </c>
      <c r="K887">
        <v>2022</v>
      </c>
      <c r="L887">
        <v>2</v>
      </c>
      <c r="M887">
        <v>6</v>
      </c>
      <c r="N887" t="s">
        <v>85</v>
      </c>
      <c r="O887">
        <v>2</v>
      </c>
      <c r="P887">
        <v>4</v>
      </c>
      <c r="Q887" t="s">
        <v>31</v>
      </c>
      <c r="R887">
        <v>16</v>
      </c>
      <c r="S887">
        <v>80</v>
      </c>
      <c r="T887">
        <v>67770</v>
      </c>
      <c r="U887">
        <v>11000</v>
      </c>
      <c r="V887">
        <v>6.6</v>
      </c>
      <c r="W887" t="s">
        <v>31</v>
      </c>
    </row>
    <row r="888" spans="1:23" x14ac:dyDescent="0.3">
      <c r="A888" t="s">
        <v>1623</v>
      </c>
      <c r="B888" t="s">
        <v>1930</v>
      </c>
      <c r="C888">
        <v>35</v>
      </c>
      <c r="D888" t="s">
        <v>41</v>
      </c>
      <c r="E888" t="s">
        <v>71</v>
      </c>
      <c r="F888" t="s">
        <v>35</v>
      </c>
      <c r="G888" t="s">
        <v>36</v>
      </c>
      <c r="H888" t="s">
        <v>76</v>
      </c>
      <c r="I888" t="s">
        <v>27</v>
      </c>
      <c r="J888" t="s">
        <v>454</v>
      </c>
      <c r="K888">
        <v>2021</v>
      </c>
      <c r="L888">
        <v>3</v>
      </c>
      <c r="M888">
        <v>7</v>
      </c>
      <c r="N888" t="s">
        <v>98</v>
      </c>
      <c r="O888">
        <v>4</v>
      </c>
      <c r="P888">
        <v>2</v>
      </c>
      <c r="Q888" t="s">
        <v>30</v>
      </c>
      <c r="R888">
        <v>11</v>
      </c>
      <c r="S888">
        <v>16</v>
      </c>
      <c r="T888">
        <v>68007</v>
      </c>
      <c r="U888">
        <v>4800</v>
      </c>
      <c r="V888">
        <v>7.7</v>
      </c>
      <c r="W888" t="s">
        <v>31</v>
      </c>
    </row>
    <row r="889" spans="1:23" x14ac:dyDescent="0.3">
      <c r="A889" t="s">
        <v>1624</v>
      </c>
      <c r="B889" t="s">
        <v>2207</v>
      </c>
      <c r="C889">
        <v>30</v>
      </c>
      <c r="D889" t="s">
        <v>22</v>
      </c>
      <c r="E889" t="s">
        <v>71</v>
      </c>
      <c r="F889" t="s">
        <v>47</v>
      </c>
      <c r="G889" t="s">
        <v>43</v>
      </c>
      <c r="H889" t="s">
        <v>96</v>
      </c>
      <c r="I889" t="s">
        <v>27</v>
      </c>
      <c r="J889" t="s">
        <v>1332</v>
      </c>
      <c r="K889">
        <v>2022</v>
      </c>
      <c r="L889">
        <v>2</v>
      </c>
      <c r="M889">
        <v>6</v>
      </c>
      <c r="N889" t="s">
        <v>29</v>
      </c>
      <c r="O889">
        <v>4</v>
      </c>
      <c r="P889">
        <v>2</v>
      </c>
      <c r="Q889" t="s">
        <v>30</v>
      </c>
      <c r="R889">
        <v>11</v>
      </c>
      <c r="S889">
        <v>28</v>
      </c>
      <c r="T889">
        <v>128024</v>
      </c>
      <c r="U889">
        <v>16100</v>
      </c>
      <c r="V889">
        <v>13.7</v>
      </c>
      <c r="W889" t="s">
        <v>31</v>
      </c>
    </row>
    <row r="890" spans="1:23" x14ac:dyDescent="0.3">
      <c r="A890" t="s">
        <v>1625</v>
      </c>
      <c r="B890" t="s">
        <v>1938</v>
      </c>
      <c r="C890">
        <v>36</v>
      </c>
      <c r="D890" t="s">
        <v>41</v>
      </c>
      <c r="E890" t="s">
        <v>56</v>
      </c>
      <c r="F890" t="s">
        <v>42</v>
      </c>
      <c r="G890" t="s">
        <v>43</v>
      </c>
      <c r="H890" t="s">
        <v>44</v>
      </c>
      <c r="I890" t="s">
        <v>79</v>
      </c>
      <c r="J890" t="s">
        <v>1058</v>
      </c>
      <c r="K890">
        <v>2023</v>
      </c>
      <c r="L890">
        <v>1</v>
      </c>
      <c r="M890">
        <v>13</v>
      </c>
      <c r="N890" t="s">
        <v>85</v>
      </c>
      <c r="O890">
        <v>2</v>
      </c>
      <c r="P890">
        <v>4</v>
      </c>
      <c r="Q890" t="s">
        <v>30</v>
      </c>
      <c r="R890">
        <v>1</v>
      </c>
      <c r="S890">
        <v>12</v>
      </c>
      <c r="T890">
        <v>130177</v>
      </c>
      <c r="U890">
        <v>22800</v>
      </c>
      <c r="V890">
        <v>10.3</v>
      </c>
      <c r="W890" t="s">
        <v>31</v>
      </c>
    </row>
    <row r="891" spans="1:23" x14ac:dyDescent="0.3">
      <c r="A891" t="s">
        <v>1626</v>
      </c>
      <c r="B891" t="s">
        <v>2208</v>
      </c>
      <c r="C891">
        <v>43</v>
      </c>
      <c r="D891" t="s">
        <v>41</v>
      </c>
      <c r="E891" t="s">
        <v>56</v>
      </c>
      <c r="F891" t="s">
        <v>153</v>
      </c>
      <c r="G891" t="s">
        <v>100</v>
      </c>
      <c r="H891" t="s">
        <v>150</v>
      </c>
      <c r="I891" t="s">
        <v>65</v>
      </c>
      <c r="J891" t="s">
        <v>1627</v>
      </c>
      <c r="K891">
        <v>2021</v>
      </c>
      <c r="L891">
        <v>3</v>
      </c>
      <c r="M891">
        <v>18</v>
      </c>
      <c r="N891" t="s">
        <v>98</v>
      </c>
      <c r="O891">
        <v>3</v>
      </c>
      <c r="P891">
        <v>5</v>
      </c>
      <c r="Q891" t="s">
        <v>31</v>
      </c>
      <c r="R891">
        <v>8</v>
      </c>
      <c r="S891">
        <v>51</v>
      </c>
      <c r="T891">
        <v>76587</v>
      </c>
      <c r="U891">
        <v>5600</v>
      </c>
      <c r="V891">
        <v>5.2</v>
      </c>
      <c r="W891" t="s">
        <v>30</v>
      </c>
    </row>
    <row r="892" spans="1:23" x14ac:dyDescent="0.3">
      <c r="A892" t="s">
        <v>1628</v>
      </c>
      <c r="B892" t="s">
        <v>2152</v>
      </c>
      <c r="C892">
        <v>32</v>
      </c>
      <c r="D892" t="s">
        <v>41</v>
      </c>
      <c r="E892" t="s">
        <v>23</v>
      </c>
      <c r="F892" t="s">
        <v>62</v>
      </c>
      <c r="G892" t="s">
        <v>25</v>
      </c>
      <c r="H892" t="s">
        <v>110</v>
      </c>
      <c r="I892" t="s">
        <v>27</v>
      </c>
      <c r="J892" t="s">
        <v>194</v>
      </c>
      <c r="K892">
        <v>2023</v>
      </c>
      <c r="L892">
        <v>1</v>
      </c>
      <c r="M892">
        <v>7</v>
      </c>
      <c r="N892" t="s">
        <v>85</v>
      </c>
      <c r="O892">
        <v>2</v>
      </c>
      <c r="P892">
        <v>3</v>
      </c>
      <c r="Q892" t="s">
        <v>30</v>
      </c>
      <c r="R892">
        <v>17</v>
      </c>
      <c r="S892">
        <v>72</v>
      </c>
      <c r="T892">
        <v>65011</v>
      </c>
      <c r="U892">
        <v>11200</v>
      </c>
      <c r="V892">
        <v>11.5</v>
      </c>
      <c r="W892" t="s">
        <v>30</v>
      </c>
    </row>
    <row r="893" spans="1:23" x14ac:dyDescent="0.3">
      <c r="A893" t="s">
        <v>1629</v>
      </c>
      <c r="B893" t="s">
        <v>2209</v>
      </c>
      <c r="C893">
        <v>40</v>
      </c>
      <c r="D893" t="s">
        <v>33</v>
      </c>
      <c r="E893" t="s">
        <v>34</v>
      </c>
      <c r="F893" t="s">
        <v>153</v>
      </c>
      <c r="G893" t="s">
        <v>43</v>
      </c>
      <c r="H893" t="s">
        <v>44</v>
      </c>
      <c r="I893" t="s">
        <v>27</v>
      </c>
      <c r="J893" t="s">
        <v>1630</v>
      </c>
      <c r="K893">
        <v>2022</v>
      </c>
      <c r="L893">
        <v>2</v>
      </c>
      <c r="M893">
        <v>12</v>
      </c>
      <c r="N893" t="s">
        <v>98</v>
      </c>
      <c r="O893">
        <v>4</v>
      </c>
      <c r="P893">
        <v>2</v>
      </c>
      <c r="Q893" t="s">
        <v>31</v>
      </c>
      <c r="R893">
        <v>2</v>
      </c>
      <c r="S893">
        <v>14</v>
      </c>
      <c r="T893">
        <v>93991</v>
      </c>
      <c r="U893">
        <v>6900</v>
      </c>
      <c r="V893">
        <v>14.9</v>
      </c>
      <c r="W893" t="s">
        <v>31</v>
      </c>
    </row>
    <row r="894" spans="1:23" x14ac:dyDescent="0.3">
      <c r="A894" t="s">
        <v>1631</v>
      </c>
      <c r="B894" t="s">
        <v>1872</v>
      </c>
      <c r="C894">
        <v>30</v>
      </c>
      <c r="D894" t="s">
        <v>41</v>
      </c>
      <c r="E894" t="s">
        <v>71</v>
      </c>
      <c r="F894" t="s">
        <v>35</v>
      </c>
      <c r="G894" t="s">
        <v>43</v>
      </c>
      <c r="H894" t="s">
        <v>72</v>
      </c>
      <c r="I894" t="s">
        <v>27</v>
      </c>
      <c r="J894" t="s">
        <v>1632</v>
      </c>
      <c r="K894">
        <v>2024</v>
      </c>
      <c r="L894">
        <v>0</v>
      </c>
      <c r="M894">
        <v>8</v>
      </c>
      <c r="N894" t="s">
        <v>29</v>
      </c>
      <c r="O894">
        <v>1</v>
      </c>
      <c r="P894">
        <v>2</v>
      </c>
      <c r="Q894" t="s">
        <v>31</v>
      </c>
      <c r="R894">
        <v>24</v>
      </c>
      <c r="S894">
        <v>49</v>
      </c>
      <c r="T894">
        <v>111321</v>
      </c>
      <c r="U894">
        <v>13700</v>
      </c>
      <c r="V894">
        <v>6.7</v>
      </c>
      <c r="W894" t="s">
        <v>31</v>
      </c>
    </row>
    <row r="895" spans="1:23" x14ac:dyDescent="0.3">
      <c r="A895" t="s">
        <v>1633</v>
      </c>
      <c r="B895" t="s">
        <v>2024</v>
      </c>
      <c r="C895">
        <v>37</v>
      </c>
      <c r="D895" t="s">
        <v>41</v>
      </c>
      <c r="E895" t="s">
        <v>71</v>
      </c>
      <c r="F895" t="s">
        <v>62</v>
      </c>
      <c r="G895" t="s">
        <v>52</v>
      </c>
      <c r="H895" t="s">
        <v>53</v>
      </c>
      <c r="I895" t="s">
        <v>27</v>
      </c>
      <c r="J895" t="s">
        <v>1634</v>
      </c>
      <c r="K895">
        <v>2023</v>
      </c>
      <c r="L895">
        <v>1</v>
      </c>
      <c r="M895">
        <v>8</v>
      </c>
      <c r="N895" t="s">
        <v>85</v>
      </c>
      <c r="O895">
        <v>2</v>
      </c>
      <c r="P895">
        <v>1</v>
      </c>
      <c r="Q895" t="s">
        <v>31</v>
      </c>
      <c r="R895">
        <v>11</v>
      </c>
      <c r="S895">
        <v>11</v>
      </c>
      <c r="T895">
        <v>70304</v>
      </c>
      <c r="U895">
        <v>15400</v>
      </c>
      <c r="V895">
        <v>12.5</v>
      </c>
      <c r="W895" t="s">
        <v>30</v>
      </c>
    </row>
    <row r="896" spans="1:23" x14ac:dyDescent="0.3">
      <c r="A896" t="s">
        <v>1635</v>
      </c>
      <c r="B896" t="s">
        <v>2210</v>
      </c>
      <c r="C896">
        <v>38</v>
      </c>
      <c r="D896" t="s">
        <v>22</v>
      </c>
      <c r="E896" t="s">
        <v>34</v>
      </c>
      <c r="F896" t="s">
        <v>62</v>
      </c>
      <c r="G896" t="s">
        <v>36</v>
      </c>
      <c r="H896" t="s">
        <v>89</v>
      </c>
      <c r="I896" t="s">
        <v>27</v>
      </c>
      <c r="J896" t="s">
        <v>496</v>
      </c>
      <c r="K896">
        <v>2021</v>
      </c>
      <c r="L896">
        <v>3</v>
      </c>
      <c r="M896">
        <v>11</v>
      </c>
      <c r="N896" t="s">
        <v>29</v>
      </c>
      <c r="O896">
        <v>5</v>
      </c>
      <c r="P896">
        <v>4</v>
      </c>
      <c r="Q896" t="s">
        <v>31</v>
      </c>
      <c r="R896">
        <v>11</v>
      </c>
      <c r="S896">
        <v>23</v>
      </c>
      <c r="T896">
        <v>46108</v>
      </c>
      <c r="U896">
        <v>5900</v>
      </c>
      <c r="V896">
        <v>9.9</v>
      </c>
      <c r="W896" t="s">
        <v>31</v>
      </c>
    </row>
    <row r="897" spans="1:23" x14ac:dyDescent="0.3">
      <c r="A897" t="s">
        <v>1636</v>
      </c>
      <c r="B897" t="s">
        <v>2211</v>
      </c>
      <c r="C897">
        <v>34</v>
      </c>
      <c r="D897" t="s">
        <v>41</v>
      </c>
      <c r="E897" t="s">
        <v>23</v>
      </c>
      <c r="F897" t="s">
        <v>35</v>
      </c>
      <c r="G897" t="s">
        <v>43</v>
      </c>
      <c r="H897" t="s">
        <v>72</v>
      </c>
      <c r="I897" t="s">
        <v>27</v>
      </c>
      <c r="J897" t="s">
        <v>189</v>
      </c>
      <c r="K897">
        <v>2022</v>
      </c>
      <c r="L897">
        <v>2</v>
      </c>
      <c r="M897">
        <v>6</v>
      </c>
      <c r="N897" t="s">
        <v>85</v>
      </c>
      <c r="O897">
        <v>2</v>
      </c>
      <c r="P897">
        <v>5</v>
      </c>
      <c r="Q897" t="s">
        <v>31</v>
      </c>
      <c r="R897">
        <v>7</v>
      </c>
      <c r="S897">
        <v>55</v>
      </c>
      <c r="T897">
        <v>71954</v>
      </c>
      <c r="U897">
        <v>16500</v>
      </c>
      <c r="V897">
        <v>9</v>
      </c>
      <c r="W897" t="s">
        <v>31</v>
      </c>
    </row>
    <row r="898" spans="1:23" x14ac:dyDescent="0.3">
      <c r="A898" t="s">
        <v>1637</v>
      </c>
      <c r="B898" t="s">
        <v>1922</v>
      </c>
      <c r="C898">
        <v>49</v>
      </c>
      <c r="D898" t="s">
        <v>41</v>
      </c>
      <c r="E898" t="s">
        <v>71</v>
      </c>
      <c r="F898" t="s">
        <v>35</v>
      </c>
      <c r="G898" t="s">
        <v>82</v>
      </c>
      <c r="H898" t="s">
        <v>323</v>
      </c>
      <c r="I898" t="s">
        <v>27</v>
      </c>
      <c r="J898" t="s">
        <v>1638</v>
      </c>
      <c r="K898">
        <v>2024</v>
      </c>
      <c r="L898">
        <v>0</v>
      </c>
      <c r="M898">
        <v>19</v>
      </c>
      <c r="N898" t="s">
        <v>85</v>
      </c>
      <c r="O898">
        <v>4</v>
      </c>
      <c r="P898">
        <v>1</v>
      </c>
      <c r="Q898" t="s">
        <v>31</v>
      </c>
      <c r="R898">
        <v>14</v>
      </c>
      <c r="S898">
        <v>43</v>
      </c>
      <c r="T898">
        <v>49862</v>
      </c>
      <c r="U898">
        <v>9900</v>
      </c>
      <c r="V898">
        <v>8.8000000000000007</v>
      </c>
      <c r="W898" t="s">
        <v>30</v>
      </c>
    </row>
    <row r="899" spans="1:23" x14ac:dyDescent="0.3">
      <c r="A899" t="s">
        <v>1639</v>
      </c>
      <c r="B899" t="s">
        <v>1824</v>
      </c>
      <c r="C899">
        <v>45</v>
      </c>
      <c r="D899" t="s">
        <v>33</v>
      </c>
      <c r="E899" t="s">
        <v>34</v>
      </c>
      <c r="F899" t="s">
        <v>62</v>
      </c>
      <c r="G899" t="s">
        <v>43</v>
      </c>
      <c r="H899" t="s">
        <v>48</v>
      </c>
      <c r="I899" t="s">
        <v>27</v>
      </c>
      <c r="J899" t="s">
        <v>1640</v>
      </c>
      <c r="K899">
        <v>2022</v>
      </c>
      <c r="L899">
        <v>2</v>
      </c>
      <c r="M899">
        <v>19</v>
      </c>
      <c r="N899" t="s">
        <v>29</v>
      </c>
      <c r="O899">
        <v>2</v>
      </c>
      <c r="P899">
        <v>2</v>
      </c>
      <c r="Q899" t="s">
        <v>31</v>
      </c>
      <c r="R899">
        <v>3</v>
      </c>
      <c r="S899">
        <v>18</v>
      </c>
      <c r="T899">
        <v>82018</v>
      </c>
      <c r="U899">
        <v>9400</v>
      </c>
      <c r="V899">
        <v>6.7</v>
      </c>
      <c r="W899" t="s">
        <v>30</v>
      </c>
    </row>
    <row r="900" spans="1:23" x14ac:dyDescent="0.3">
      <c r="A900" t="s">
        <v>1641</v>
      </c>
      <c r="B900" t="s">
        <v>2212</v>
      </c>
      <c r="C900">
        <v>41</v>
      </c>
      <c r="D900" t="s">
        <v>41</v>
      </c>
      <c r="E900" t="s">
        <v>61</v>
      </c>
      <c r="F900" t="s">
        <v>137</v>
      </c>
      <c r="G900" t="s">
        <v>100</v>
      </c>
      <c r="H900" t="s">
        <v>150</v>
      </c>
      <c r="I900" t="s">
        <v>27</v>
      </c>
      <c r="J900" t="s">
        <v>1642</v>
      </c>
      <c r="K900">
        <v>2023</v>
      </c>
      <c r="L900">
        <v>1</v>
      </c>
      <c r="M900">
        <v>12</v>
      </c>
      <c r="N900" t="s">
        <v>39</v>
      </c>
      <c r="O900">
        <v>5</v>
      </c>
      <c r="P900">
        <v>4</v>
      </c>
      <c r="Q900" t="s">
        <v>31</v>
      </c>
      <c r="R900">
        <v>12</v>
      </c>
      <c r="S900">
        <v>39</v>
      </c>
      <c r="T900">
        <v>57844</v>
      </c>
      <c r="U900">
        <v>1800</v>
      </c>
      <c r="V900">
        <v>8.5</v>
      </c>
      <c r="W900" t="s">
        <v>31</v>
      </c>
    </row>
    <row r="901" spans="1:23" x14ac:dyDescent="0.3">
      <c r="A901" t="s">
        <v>1643</v>
      </c>
      <c r="B901" t="s">
        <v>2087</v>
      </c>
      <c r="C901">
        <v>48</v>
      </c>
      <c r="D901" t="s">
        <v>33</v>
      </c>
      <c r="E901" t="s">
        <v>71</v>
      </c>
      <c r="F901" t="s">
        <v>137</v>
      </c>
      <c r="G901" t="s">
        <v>100</v>
      </c>
      <c r="H901" t="s">
        <v>101</v>
      </c>
      <c r="I901" t="s">
        <v>27</v>
      </c>
      <c r="J901" t="s">
        <v>1644</v>
      </c>
      <c r="K901">
        <v>2024</v>
      </c>
      <c r="L901">
        <v>0</v>
      </c>
      <c r="M901">
        <v>19</v>
      </c>
      <c r="N901" t="s">
        <v>98</v>
      </c>
      <c r="O901">
        <v>3</v>
      </c>
      <c r="P901">
        <v>1</v>
      </c>
      <c r="Q901" t="s">
        <v>31</v>
      </c>
      <c r="R901">
        <v>0</v>
      </c>
      <c r="S901">
        <v>52</v>
      </c>
      <c r="T901">
        <v>60284</v>
      </c>
      <c r="U901">
        <v>3500</v>
      </c>
      <c r="V901">
        <v>12.8</v>
      </c>
      <c r="W901" t="s">
        <v>31</v>
      </c>
    </row>
    <row r="902" spans="1:23" x14ac:dyDescent="0.3">
      <c r="A902" t="s">
        <v>1645</v>
      </c>
      <c r="B902" t="s">
        <v>2083</v>
      </c>
      <c r="C902">
        <v>47</v>
      </c>
      <c r="D902" t="s">
        <v>41</v>
      </c>
      <c r="E902" t="s">
        <v>23</v>
      </c>
      <c r="F902" t="s">
        <v>62</v>
      </c>
      <c r="G902" t="s">
        <v>117</v>
      </c>
      <c r="H902" t="s">
        <v>198</v>
      </c>
      <c r="I902" t="s">
        <v>27</v>
      </c>
      <c r="J902" t="s">
        <v>1646</v>
      </c>
      <c r="K902">
        <v>2024</v>
      </c>
      <c r="L902">
        <v>0</v>
      </c>
      <c r="M902">
        <v>19</v>
      </c>
      <c r="N902" t="s">
        <v>29</v>
      </c>
      <c r="O902">
        <v>2</v>
      </c>
      <c r="P902">
        <v>5</v>
      </c>
      <c r="Q902" t="s">
        <v>31</v>
      </c>
      <c r="R902">
        <v>22</v>
      </c>
      <c r="S902">
        <v>48</v>
      </c>
      <c r="T902">
        <v>92030</v>
      </c>
      <c r="U902">
        <v>9700</v>
      </c>
      <c r="V902">
        <v>8.6</v>
      </c>
      <c r="W902" t="s">
        <v>30</v>
      </c>
    </row>
    <row r="903" spans="1:23" x14ac:dyDescent="0.3">
      <c r="A903" t="s">
        <v>1647</v>
      </c>
      <c r="B903" t="s">
        <v>2072</v>
      </c>
      <c r="C903">
        <v>25</v>
      </c>
      <c r="D903" t="s">
        <v>41</v>
      </c>
      <c r="E903" t="s">
        <v>34</v>
      </c>
      <c r="F903" t="s">
        <v>57</v>
      </c>
      <c r="G903" t="s">
        <v>43</v>
      </c>
      <c r="H903" t="s">
        <v>44</v>
      </c>
      <c r="I903" t="s">
        <v>79</v>
      </c>
      <c r="J903" t="s">
        <v>1648</v>
      </c>
      <c r="K903">
        <v>2023</v>
      </c>
      <c r="L903">
        <v>1</v>
      </c>
      <c r="M903">
        <v>1</v>
      </c>
      <c r="N903" t="s">
        <v>85</v>
      </c>
      <c r="O903">
        <v>5</v>
      </c>
      <c r="P903">
        <v>3</v>
      </c>
      <c r="Q903" t="s">
        <v>30</v>
      </c>
      <c r="R903">
        <v>16</v>
      </c>
      <c r="S903">
        <v>79</v>
      </c>
      <c r="T903">
        <v>84433</v>
      </c>
      <c r="U903">
        <v>14600</v>
      </c>
      <c r="V903">
        <v>8</v>
      </c>
      <c r="W903" t="s">
        <v>31</v>
      </c>
    </row>
    <row r="904" spans="1:23" x14ac:dyDescent="0.3">
      <c r="A904" t="s">
        <v>1649</v>
      </c>
      <c r="B904" t="s">
        <v>2063</v>
      </c>
      <c r="C904">
        <v>39</v>
      </c>
      <c r="D904" t="s">
        <v>33</v>
      </c>
      <c r="E904" t="s">
        <v>34</v>
      </c>
      <c r="F904" t="s">
        <v>47</v>
      </c>
      <c r="G904" t="s">
        <v>117</v>
      </c>
      <c r="H904" t="s">
        <v>184</v>
      </c>
      <c r="I904" t="s">
        <v>27</v>
      </c>
      <c r="J904" t="s">
        <v>1650</v>
      </c>
      <c r="K904">
        <v>2023</v>
      </c>
      <c r="L904">
        <v>1</v>
      </c>
      <c r="M904">
        <v>14</v>
      </c>
      <c r="N904" t="s">
        <v>98</v>
      </c>
      <c r="O904">
        <v>3</v>
      </c>
      <c r="P904">
        <v>5</v>
      </c>
      <c r="Q904" t="s">
        <v>30</v>
      </c>
      <c r="R904">
        <v>3</v>
      </c>
      <c r="S904">
        <v>50</v>
      </c>
      <c r="T904">
        <v>76653</v>
      </c>
      <c r="U904">
        <v>6200</v>
      </c>
      <c r="V904">
        <v>14.3</v>
      </c>
      <c r="W904" t="s">
        <v>31</v>
      </c>
    </row>
    <row r="905" spans="1:23" x14ac:dyDescent="0.3">
      <c r="A905" t="s">
        <v>1651</v>
      </c>
      <c r="B905" t="s">
        <v>2013</v>
      </c>
      <c r="C905">
        <v>41</v>
      </c>
      <c r="D905" t="s">
        <v>33</v>
      </c>
      <c r="E905" t="s">
        <v>34</v>
      </c>
      <c r="F905" t="s">
        <v>42</v>
      </c>
      <c r="G905" t="s">
        <v>25</v>
      </c>
      <c r="H905" t="s">
        <v>205</v>
      </c>
      <c r="I905" t="s">
        <v>27</v>
      </c>
      <c r="J905" t="s">
        <v>783</v>
      </c>
      <c r="K905">
        <v>2023</v>
      </c>
      <c r="L905">
        <v>1</v>
      </c>
      <c r="M905">
        <v>15</v>
      </c>
      <c r="N905" t="s">
        <v>98</v>
      </c>
      <c r="O905">
        <v>2</v>
      </c>
      <c r="P905">
        <v>1</v>
      </c>
      <c r="Q905" t="s">
        <v>31</v>
      </c>
      <c r="R905">
        <v>18</v>
      </c>
      <c r="S905">
        <v>42</v>
      </c>
      <c r="T905">
        <v>72671</v>
      </c>
      <c r="U905">
        <v>4600</v>
      </c>
      <c r="V905">
        <v>9.3000000000000007</v>
      </c>
      <c r="W905" t="s">
        <v>31</v>
      </c>
    </row>
    <row r="906" spans="1:23" x14ac:dyDescent="0.3">
      <c r="A906" t="s">
        <v>1652</v>
      </c>
      <c r="B906" t="s">
        <v>2007</v>
      </c>
      <c r="C906">
        <v>48</v>
      </c>
      <c r="D906" t="s">
        <v>41</v>
      </c>
      <c r="E906" t="s">
        <v>71</v>
      </c>
      <c r="F906" t="s">
        <v>51</v>
      </c>
      <c r="G906" t="s">
        <v>43</v>
      </c>
      <c r="H906" t="s">
        <v>48</v>
      </c>
      <c r="I906" t="s">
        <v>27</v>
      </c>
      <c r="J906" t="s">
        <v>681</v>
      </c>
      <c r="K906">
        <v>2022</v>
      </c>
      <c r="L906">
        <v>2</v>
      </c>
      <c r="M906">
        <v>18</v>
      </c>
      <c r="N906" t="s">
        <v>85</v>
      </c>
      <c r="O906">
        <v>2</v>
      </c>
      <c r="P906">
        <v>1</v>
      </c>
      <c r="Q906" t="s">
        <v>31</v>
      </c>
      <c r="R906">
        <v>15</v>
      </c>
      <c r="S906">
        <v>5</v>
      </c>
      <c r="T906">
        <v>105338</v>
      </c>
      <c r="U906">
        <v>18200</v>
      </c>
      <c r="V906">
        <v>14.6</v>
      </c>
      <c r="W906" t="s">
        <v>31</v>
      </c>
    </row>
    <row r="907" spans="1:23" x14ac:dyDescent="0.3">
      <c r="A907" t="s">
        <v>1653</v>
      </c>
      <c r="B907" t="s">
        <v>1911</v>
      </c>
      <c r="C907">
        <v>41</v>
      </c>
      <c r="D907" t="s">
        <v>41</v>
      </c>
      <c r="E907" t="s">
        <v>34</v>
      </c>
      <c r="F907" t="s">
        <v>62</v>
      </c>
      <c r="G907" t="s">
        <v>100</v>
      </c>
      <c r="H907" t="s">
        <v>129</v>
      </c>
      <c r="I907" t="s">
        <v>27</v>
      </c>
      <c r="J907" t="s">
        <v>1654</v>
      </c>
      <c r="K907">
        <v>2023</v>
      </c>
      <c r="L907">
        <v>1</v>
      </c>
      <c r="M907">
        <v>14</v>
      </c>
      <c r="N907" t="s">
        <v>85</v>
      </c>
      <c r="O907">
        <v>3</v>
      </c>
      <c r="P907">
        <v>4</v>
      </c>
      <c r="Q907" t="s">
        <v>31</v>
      </c>
      <c r="R907">
        <v>2</v>
      </c>
      <c r="S907">
        <v>18</v>
      </c>
      <c r="T907">
        <v>78378</v>
      </c>
      <c r="U907">
        <v>17400</v>
      </c>
      <c r="V907">
        <v>3.4</v>
      </c>
      <c r="W907" t="s">
        <v>30</v>
      </c>
    </row>
    <row r="908" spans="1:23" x14ac:dyDescent="0.3">
      <c r="A908" t="s">
        <v>1655</v>
      </c>
      <c r="B908" t="s">
        <v>1906</v>
      </c>
      <c r="C908">
        <v>35</v>
      </c>
      <c r="D908" t="s">
        <v>33</v>
      </c>
      <c r="E908" t="s">
        <v>34</v>
      </c>
      <c r="F908" t="s">
        <v>62</v>
      </c>
      <c r="G908" t="s">
        <v>25</v>
      </c>
      <c r="H908" t="s">
        <v>205</v>
      </c>
      <c r="I908" t="s">
        <v>27</v>
      </c>
      <c r="J908" t="s">
        <v>1656</v>
      </c>
      <c r="K908">
        <v>2022</v>
      </c>
      <c r="L908">
        <v>2</v>
      </c>
      <c r="M908">
        <v>12</v>
      </c>
      <c r="N908" t="s">
        <v>29</v>
      </c>
      <c r="O908">
        <v>3</v>
      </c>
      <c r="P908">
        <v>5</v>
      </c>
      <c r="Q908" t="s">
        <v>31</v>
      </c>
      <c r="R908">
        <v>10</v>
      </c>
      <c r="S908">
        <v>80</v>
      </c>
      <c r="T908">
        <v>62523</v>
      </c>
      <c r="U908">
        <v>8600</v>
      </c>
      <c r="V908">
        <v>7</v>
      </c>
      <c r="W908" t="s">
        <v>31</v>
      </c>
    </row>
    <row r="909" spans="1:23" x14ac:dyDescent="0.3">
      <c r="A909" t="s">
        <v>1657</v>
      </c>
      <c r="B909" t="s">
        <v>2109</v>
      </c>
      <c r="C909">
        <v>30</v>
      </c>
      <c r="D909" t="s">
        <v>22</v>
      </c>
      <c r="E909" t="s">
        <v>34</v>
      </c>
      <c r="F909" t="s">
        <v>57</v>
      </c>
      <c r="G909" t="s">
        <v>52</v>
      </c>
      <c r="H909" t="s">
        <v>320</v>
      </c>
      <c r="I909" t="s">
        <v>27</v>
      </c>
      <c r="J909" t="s">
        <v>1658</v>
      </c>
      <c r="K909">
        <v>2021</v>
      </c>
      <c r="L909">
        <v>3</v>
      </c>
      <c r="M909">
        <v>7</v>
      </c>
      <c r="N909" t="s">
        <v>29</v>
      </c>
      <c r="O909">
        <v>5</v>
      </c>
      <c r="P909">
        <v>5</v>
      </c>
      <c r="Q909" t="s">
        <v>30</v>
      </c>
      <c r="R909">
        <v>11</v>
      </c>
      <c r="S909">
        <v>6</v>
      </c>
      <c r="T909">
        <v>68625</v>
      </c>
      <c r="U909">
        <v>7200</v>
      </c>
      <c r="V909">
        <v>11.3</v>
      </c>
      <c r="W909" t="s">
        <v>31</v>
      </c>
    </row>
    <row r="910" spans="1:23" x14ac:dyDescent="0.3">
      <c r="A910" t="s">
        <v>1659</v>
      </c>
      <c r="B910" t="s">
        <v>1963</v>
      </c>
      <c r="C910">
        <v>27</v>
      </c>
      <c r="D910" t="s">
        <v>41</v>
      </c>
      <c r="E910" t="s">
        <v>56</v>
      </c>
      <c r="F910" t="s">
        <v>47</v>
      </c>
      <c r="G910" t="s">
        <v>36</v>
      </c>
      <c r="H910" t="s">
        <v>37</v>
      </c>
      <c r="I910" t="s">
        <v>27</v>
      </c>
      <c r="J910" t="s">
        <v>1660</v>
      </c>
      <c r="K910">
        <v>2024</v>
      </c>
      <c r="L910">
        <v>0</v>
      </c>
      <c r="M910">
        <v>5</v>
      </c>
      <c r="N910" t="s">
        <v>29</v>
      </c>
      <c r="O910">
        <v>4</v>
      </c>
      <c r="P910">
        <v>5</v>
      </c>
      <c r="Q910" t="s">
        <v>30</v>
      </c>
      <c r="R910">
        <v>13</v>
      </c>
      <c r="S910">
        <v>64</v>
      </c>
      <c r="T910">
        <v>57773</v>
      </c>
      <c r="U910">
        <v>6400</v>
      </c>
      <c r="V910">
        <v>6.2</v>
      </c>
      <c r="W910" t="s">
        <v>31</v>
      </c>
    </row>
    <row r="911" spans="1:23" x14ac:dyDescent="0.3">
      <c r="A911" t="s">
        <v>1661</v>
      </c>
      <c r="B911" t="s">
        <v>2148</v>
      </c>
      <c r="C911">
        <v>35</v>
      </c>
      <c r="D911" t="s">
        <v>33</v>
      </c>
      <c r="E911" t="s">
        <v>71</v>
      </c>
      <c r="F911" t="s">
        <v>51</v>
      </c>
      <c r="G911" t="s">
        <v>100</v>
      </c>
      <c r="H911" t="s">
        <v>129</v>
      </c>
      <c r="I911" t="s">
        <v>27</v>
      </c>
      <c r="J911" t="s">
        <v>1662</v>
      </c>
      <c r="K911">
        <v>2021</v>
      </c>
      <c r="L911">
        <v>3</v>
      </c>
      <c r="M911">
        <v>11</v>
      </c>
      <c r="N911" t="s">
        <v>29</v>
      </c>
      <c r="O911">
        <v>3</v>
      </c>
      <c r="P911">
        <v>1</v>
      </c>
      <c r="Q911" t="s">
        <v>31</v>
      </c>
      <c r="R911">
        <v>14</v>
      </c>
      <c r="S911">
        <v>33</v>
      </c>
      <c r="T911">
        <v>58388</v>
      </c>
      <c r="U911">
        <v>7200</v>
      </c>
      <c r="V911">
        <v>3.6</v>
      </c>
      <c r="W911" t="s">
        <v>31</v>
      </c>
    </row>
    <row r="912" spans="1:23" x14ac:dyDescent="0.3">
      <c r="A912" t="s">
        <v>1663</v>
      </c>
      <c r="B912" t="s">
        <v>2213</v>
      </c>
      <c r="C912">
        <v>38</v>
      </c>
      <c r="D912" t="s">
        <v>22</v>
      </c>
      <c r="E912" t="s">
        <v>61</v>
      </c>
      <c r="F912" t="s">
        <v>35</v>
      </c>
      <c r="G912" t="s">
        <v>82</v>
      </c>
      <c r="H912" t="s">
        <v>83</v>
      </c>
      <c r="I912" t="s">
        <v>27</v>
      </c>
      <c r="J912" t="s">
        <v>1664</v>
      </c>
      <c r="K912">
        <v>2023</v>
      </c>
      <c r="L912">
        <v>1</v>
      </c>
      <c r="M912">
        <v>8</v>
      </c>
      <c r="N912" t="s">
        <v>39</v>
      </c>
      <c r="O912">
        <v>3</v>
      </c>
      <c r="P912">
        <v>2</v>
      </c>
      <c r="Q912" t="s">
        <v>31</v>
      </c>
      <c r="R912">
        <v>6</v>
      </c>
      <c r="S912">
        <v>25</v>
      </c>
      <c r="T912">
        <v>69026</v>
      </c>
      <c r="U912">
        <v>1800</v>
      </c>
      <c r="V912">
        <v>12.8</v>
      </c>
      <c r="W912" t="s">
        <v>31</v>
      </c>
    </row>
    <row r="913" spans="1:23" x14ac:dyDescent="0.3">
      <c r="A913" t="s">
        <v>1665</v>
      </c>
      <c r="B913" t="s">
        <v>2004</v>
      </c>
      <c r="C913">
        <v>25</v>
      </c>
      <c r="D913" t="s">
        <v>33</v>
      </c>
      <c r="E913" t="s">
        <v>34</v>
      </c>
      <c r="F913" t="s">
        <v>47</v>
      </c>
      <c r="G913" t="s">
        <v>63</v>
      </c>
      <c r="H913" t="s">
        <v>64</v>
      </c>
      <c r="I913" t="s">
        <v>27</v>
      </c>
      <c r="J913" t="s">
        <v>125</v>
      </c>
      <c r="K913">
        <v>2022</v>
      </c>
      <c r="L913">
        <v>2</v>
      </c>
      <c r="M913">
        <v>1</v>
      </c>
      <c r="N913" t="s">
        <v>39</v>
      </c>
      <c r="O913">
        <v>4</v>
      </c>
      <c r="P913">
        <v>1</v>
      </c>
      <c r="Q913" t="s">
        <v>30</v>
      </c>
      <c r="R913">
        <v>23</v>
      </c>
      <c r="S913">
        <v>15</v>
      </c>
      <c r="T913">
        <v>53796</v>
      </c>
      <c r="U913">
        <v>1400</v>
      </c>
      <c r="V913">
        <v>13.5</v>
      </c>
      <c r="W913" t="s">
        <v>30</v>
      </c>
    </row>
    <row r="914" spans="1:23" x14ac:dyDescent="0.3">
      <c r="A914" t="s">
        <v>1666</v>
      </c>
      <c r="B914" t="s">
        <v>2063</v>
      </c>
      <c r="C914">
        <v>38</v>
      </c>
      <c r="D914" t="s">
        <v>33</v>
      </c>
      <c r="E914" t="s">
        <v>61</v>
      </c>
      <c r="F914" t="s">
        <v>24</v>
      </c>
      <c r="G914" t="s">
        <v>43</v>
      </c>
      <c r="H914" t="s">
        <v>48</v>
      </c>
      <c r="I914" t="s">
        <v>27</v>
      </c>
      <c r="J914" t="s">
        <v>299</v>
      </c>
      <c r="K914">
        <v>2021</v>
      </c>
      <c r="L914">
        <v>3</v>
      </c>
      <c r="M914">
        <v>14</v>
      </c>
      <c r="N914" t="s">
        <v>98</v>
      </c>
      <c r="O914">
        <v>1</v>
      </c>
      <c r="P914">
        <v>2</v>
      </c>
      <c r="Q914" t="s">
        <v>30</v>
      </c>
      <c r="R914">
        <v>7</v>
      </c>
      <c r="S914">
        <v>74</v>
      </c>
      <c r="T914">
        <v>115530</v>
      </c>
      <c r="U914">
        <v>7500</v>
      </c>
      <c r="V914">
        <v>13.8</v>
      </c>
      <c r="W914" t="s">
        <v>30</v>
      </c>
    </row>
    <row r="915" spans="1:23" x14ac:dyDescent="0.3">
      <c r="A915" t="s">
        <v>1667</v>
      </c>
      <c r="B915" t="s">
        <v>2180</v>
      </c>
      <c r="C915">
        <v>27</v>
      </c>
      <c r="D915" t="s">
        <v>33</v>
      </c>
      <c r="E915" t="s">
        <v>34</v>
      </c>
      <c r="F915" t="s">
        <v>137</v>
      </c>
      <c r="G915" t="s">
        <v>52</v>
      </c>
      <c r="H915" t="s">
        <v>208</v>
      </c>
      <c r="I915" t="s">
        <v>27</v>
      </c>
      <c r="J915" t="s">
        <v>1668</v>
      </c>
      <c r="K915">
        <v>2021</v>
      </c>
      <c r="L915">
        <v>3</v>
      </c>
      <c r="M915">
        <v>5</v>
      </c>
      <c r="N915" t="s">
        <v>29</v>
      </c>
      <c r="O915">
        <v>2</v>
      </c>
      <c r="P915">
        <v>2</v>
      </c>
      <c r="Q915" t="s">
        <v>31</v>
      </c>
      <c r="R915">
        <v>21</v>
      </c>
      <c r="S915">
        <v>16</v>
      </c>
      <c r="T915">
        <v>64398</v>
      </c>
      <c r="U915">
        <v>9100</v>
      </c>
      <c r="V915">
        <v>12.6</v>
      </c>
      <c r="W915" t="s">
        <v>31</v>
      </c>
    </row>
    <row r="916" spans="1:23" x14ac:dyDescent="0.3">
      <c r="A916" t="s">
        <v>1669</v>
      </c>
      <c r="B916" t="s">
        <v>2163</v>
      </c>
      <c r="C916">
        <v>39</v>
      </c>
      <c r="D916" t="s">
        <v>41</v>
      </c>
      <c r="E916" t="s">
        <v>71</v>
      </c>
      <c r="F916" t="s">
        <v>153</v>
      </c>
      <c r="G916" t="s">
        <v>100</v>
      </c>
      <c r="H916" t="s">
        <v>101</v>
      </c>
      <c r="I916" t="s">
        <v>27</v>
      </c>
      <c r="J916" t="s">
        <v>1146</v>
      </c>
      <c r="K916">
        <v>2024</v>
      </c>
      <c r="L916">
        <v>0</v>
      </c>
      <c r="M916">
        <v>9</v>
      </c>
      <c r="N916" t="s">
        <v>98</v>
      </c>
      <c r="O916">
        <v>5</v>
      </c>
      <c r="P916">
        <v>2</v>
      </c>
      <c r="Q916" t="s">
        <v>31</v>
      </c>
      <c r="R916">
        <v>8</v>
      </c>
      <c r="S916">
        <v>6</v>
      </c>
      <c r="T916">
        <v>46657</v>
      </c>
      <c r="U916">
        <v>3200</v>
      </c>
      <c r="V916">
        <v>10.6</v>
      </c>
      <c r="W916" t="s">
        <v>31</v>
      </c>
    </row>
    <row r="917" spans="1:23" x14ac:dyDescent="0.3">
      <c r="A917" t="s">
        <v>1670</v>
      </c>
      <c r="B917" t="s">
        <v>1875</v>
      </c>
      <c r="C917">
        <v>40</v>
      </c>
      <c r="D917" t="s">
        <v>41</v>
      </c>
      <c r="E917" t="s">
        <v>34</v>
      </c>
      <c r="F917" t="s">
        <v>24</v>
      </c>
      <c r="G917" t="s">
        <v>43</v>
      </c>
      <c r="H917" t="s">
        <v>48</v>
      </c>
      <c r="I917" t="s">
        <v>27</v>
      </c>
      <c r="J917" t="s">
        <v>1671</v>
      </c>
      <c r="K917">
        <v>2024</v>
      </c>
      <c r="L917">
        <v>0</v>
      </c>
      <c r="M917">
        <v>16</v>
      </c>
      <c r="N917" t="s">
        <v>85</v>
      </c>
      <c r="O917">
        <v>5</v>
      </c>
      <c r="P917">
        <v>3</v>
      </c>
      <c r="Q917" t="s">
        <v>31</v>
      </c>
      <c r="R917">
        <v>22</v>
      </c>
      <c r="S917">
        <v>32</v>
      </c>
      <c r="T917">
        <v>78400</v>
      </c>
      <c r="U917">
        <v>14500</v>
      </c>
      <c r="V917">
        <v>3.5</v>
      </c>
      <c r="W917" t="s">
        <v>31</v>
      </c>
    </row>
    <row r="918" spans="1:23" x14ac:dyDescent="0.3">
      <c r="A918" t="s">
        <v>1672</v>
      </c>
      <c r="B918" t="s">
        <v>1927</v>
      </c>
      <c r="C918">
        <v>27</v>
      </c>
      <c r="D918" t="s">
        <v>33</v>
      </c>
      <c r="E918" t="s">
        <v>34</v>
      </c>
      <c r="F918" t="s">
        <v>24</v>
      </c>
      <c r="G918" t="s">
        <v>25</v>
      </c>
      <c r="H918" t="s">
        <v>205</v>
      </c>
      <c r="I918" t="s">
        <v>65</v>
      </c>
      <c r="J918" t="s">
        <v>228</v>
      </c>
      <c r="K918">
        <v>2022</v>
      </c>
      <c r="L918">
        <v>2</v>
      </c>
      <c r="M918">
        <v>3</v>
      </c>
      <c r="N918" t="s">
        <v>85</v>
      </c>
      <c r="O918">
        <v>5</v>
      </c>
      <c r="P918">
        <v>4</v>
      </c>
      <c r="Q918" t="s">
        <v>30</v>
      </c>
      <c r="R918">
        <v>23</v>
      </c>
      <c r="S918">
        <v>78</v>
      </c>
      <c r="T918">
        <v>60540</v>
      </c>
      <c r="U918">
        <v>9900</v>
      </c>
      <c r="V918">
        <v>9.4</v>
      </c>
      <c r="W918" t="s">
        <v>31</v>
      </c>
    </row>
    <row r="919" spans="1:23" x14ac:dyDescent="0.3">
      <c r="A919" t="s">
        <v>1673</v>
      </c>
      <c r="B919" t="s">
        <v>2203</v>
      </c>
      <c r="C919">
        <v>31</v>
      </c>
      <c r="D919" t="s">
        <v>33</v>
      </c>
      <c r="E919" t="s">
        <v>34</v>
      </c>
      <c r="F919" t="s">
        <v>62</v>
      </c>
      <c r="G919" t="s">
        <v>100</v>
      </c>
      <c r="H919" t="s">
        <v>150</v>
      </c>
      <c r="I919" t="s">
        <v>27</v>
      </c>
      <c r="J919" t="s">
        <v>299</v>
      </c>
      <c r="K919">
        <v>2021</v>
      </c>
      <c r="L919">
        <v>3</v>
      </c>
      <c r="M919">
        <v>2</v>
      </c>
      <c r="N919" t="s">
        <v>98</v>
      </c>
      <c r="O919">
        <v>3</v>
      </c>
      <c r="P919">
        <v>2</v>
      </c>
      <c r="Q919" t="s">
        <v>31</v>
      </c>
      <c r="R919">
        <v>19</v>
      </c>
      <c r="S919">
        <v>40</v>
      </c>
      <c r="T919">
        <v>42362</v>
      </c>
      <c r="U919">
        <v>3500</v>
      </c>
      <c r="V919">
        <v>10.199999999999999</v>
      </c>
      <c r="W919" t="s">
        <v>31</v>
      </c>
    </row>
    <row r="920" spans="1:23" x14ac:dyDescent="0.3">
      <c r="A920" t="s">
        <v>1674</v>
      </c>
      <c r="B920" t="s">
        <v>1913</v>
      </c>
      <c r="C920">
        <v>34</v>
      </c>
      <c r="D920" t="s">
        <v>41</v>
      </c>
      <c r="E920" t="s">
        <v>34</v>
      </c>
      <c r="F920" t="s">
        <v>35</v>
      </c>
      <c r="G920" t="s">
        <v>25</v>
      </c>
      <c r="H920" t="s">
        <v>26</v>
      </c>
      <c r="I920" t="s">
        <v>27</v>
      </c>
      <c r="J920" t="s">
        <v>444</v>
      </c>
      <c r="K920">
        <v>2022</v>
      </c>
      <c r="L920">
        <v>2</v>
      </c>
      <c r="M920">
        <v>9</v>
      </c>
      <c r="N920" t="s">
        <v>85</v>
      </c>
      <c r="O920">
        <v>3</v>
      </c>
      <c r="P920">
        <v>3</v>
      </c>
      <c r="Q920" t="s">
        <v>30</v>
      </c>
      <c r="R920">
        <v>18</v>
      </c>
      <c r="S920">
        <v>48</v>
      </c>
      <c r="T920">
        <v>84779</v>
      </c>
      <c r="U920">
        <v>13700</v>
      </c>
      <c r="V920">
        <v>13.3</v>
      </c>
      <c r="W920" t="s">
        <v>31</v>
      </c>
    </row>
    <row r="921" spans="1:23" x14ac:dyDescent="0.3">
      <c r="A921" t="s">
        <v>1675</v>
      </c>
      <c r="B921" t="s">
        <v>1835</v>
      </c>
      <c r="C921">
        <v>32</v>
      </c>
      <c r="D921" t="s">
        <v>33</v>
      </c>
      <c r="E921" t="s">
        <v>23</v>
      </c>
      <c r="F921" t="s">
        <v>51</v>
      </c>
      <c r="G921" t="s">
        <v>25</v>
      </c>
      <c r="H921" t="s">
        <v>205</v>
      </c>
      <c r="I921" t="s">
        <v>27</v>
      </c>
      <c r="J921" t="s">
        <v>1676</v>
      </c>
      <c r="K921">
        <v>2021</v>
      </c>
      <c r="L921">
        <v>3</v>
      </c>
      <c r="M921">
        <v>7</v>
      </c>
      <c r="N921" t="s">
        <v>29</v>
      </c>
      <c r="O921">
        <v>5</v>
      </c>
      <c r="P921">
        <v>3</v>
      </c>
      <c r="Q921" t="s">
        <v>31</v>
      </c>
      <c r="R921">
        <v>0</v>
      </c>
      <c r="S921">
        <v>34</v>
      </c>
      <c r="T921">
        <v>74295</v>
      </c>
      <c r="U921">
        <v>10300</v>
      </c>
      <c r="V921">
        <v>13</v>
      </c>
      <c r="W921" t="s">
        <v>31</v>
      </c>
    </row>
    <row r="922" spans="1:23" x14ac:dyDescent="0.3">
      <c r="A922" t="s">
        <v>1677</v>
      </c>
      <c r="B922" t="s">
        <v>2161</v>
      </c>
      <c r="C922">
        <v>43</v>
      </c>
      <c r="D922" t="s">
        <v>41</v>
      </c>
      <c r="E922" t="s">
        <v>71</v>
      </c>
      <c r="F922" t="s">
        <v>62</v>
      </c>
      <c r="G922" t="s">
        <v>25</v>
      </c>
      <c r="H922" t="s">
        <v>110</v>
      </c>
      <c r="I922" t="s">
        <v>27</v>
      </c>
      <c r="J922" t="s">
        <v>1678</v>
      </c>
      <c r="K922">
        <v>2023</v>
      </c>
      <c r="L922">
        <v>1</v>
      </c>
      <c r="M922">
        <v>13</v>
      </c>
      <c r="N922" t="s">
        <v>29</v>
      </c>
      <c r="O922">
        <v>2</v>
      </c>
      <c r="P922">
        <v>4</v>
      </c>
      <c r="Q922" t="s">
        <v>31</v>
      </c>
      <c r="R922">
        <v>13</v>
      </c>
      <c r="S922">
        <v>26</v>
      </c>
      <c r="T922">
        <v>59677</v>
      </c>
      <c r="U922">
        <v>8200</v>
      </c>
      <c r="V922">
        <v>5.3</v>
      </c>
      <c r="W922" t="s">
        <v>31</v>
      </c>
    </row>
    <row r="923" spans="1:23" x14ac:dyDescent="0.3">
      <c r="A923" t="s">
        <v>1679</v>
      </c>
      <c r="B923" t="s">
        <v>1956</v>
      </c>
      <c r="C923">
        <v>33</v>
      </c>
      <c r="D923" t="s">
        <v>33</v>
      </c>
      <c r="E923" t="s">
        <v>71</v>
      </c>
      <c r="F923" t="s">
        <v>153</v>
      </c>
      <c r="G923" t="s">
        <v>52</v>
      </c>
      <c r="H923" t="s">
        <v>53</v>
      </c>
      <c r="I923" t="s">
        <v>27</v>
      </c>
      <c r="J923" t="s">
        <v>1680</v>
      </c>
      <c r="K923">
        <v>2023</v>
      </c>
      <c r="L923">
        <v>1</v>
      </c>
      <c r="M923">
        <v>9</v>
      </c>
      <c r="N923" t="s">
        <v>29</v>
      </c>
      <c r="O923">
        <v>4</v>
      </c>
      <c r="P923">
        <v>3</v>
      </c>
      <c r="Q923" t="s">
        <v>30</v>
      </c>
      <c r="R923">
        <v>17</v>
      </c>
      <c r="S923">
        <v>10</v>
      </c>
      <c r="T923">
        <v>77637</v>
      </c>
      <c r="U923">
        <v>10400</v>
      </c>
      <c r="V923">
        <v>4.9000000000000004</v>
      </c>
      <c r="W923" t="s">
        <v>31</v>
      </c>
    </row>
    <row r="924" spans="1:23" x14ac:dyDescent="0.3">
      <c r="A924" t="s">
        <v>1681</v>
      </c>
      <c r="B924" t="s">
        <v>2140</v>
      </c>
      <c r="C924">
        <v>30</v>
      </c>
      <c r="D924" t="s">
        <v>33</v>
      </c>
      <c r="E924" t="s">
        <v>71</v>
      </c>
      <c r="F924" t="s">
        <v>35</v>
      </c>
      <c r="G924" t="s">
        <v>100</v>
      </c>
      <c r="H924" t="s">
        <v>145</v>
      </c>
      <c r="I924" t="s">
        <v>27</v>
      </c>
      <c r="J924" t="s">
        <v>1414</v>
      </c>
      <c r="K924">
        <v>2023</v>
      </c>
      <c r="L924">
        <v>1</v>
      </c>
      <c r="M924">
        <v>6</v>
      </c>
      <c r="N924" t="s">
        <v>85</v>
      </c>
      <c r="O924">
        <v>3</v>
      </c>
      <c r="P924">
        <v>5</v>
      </c>
      <c r="Q924" t="s">
        <v>30</v>
      </c>
      <c r="R924">
        <v>12</v>
      </c>
      <c r="S924">
        <v>29</v>
      </c>
      <c r="T924">
        <v>47669</v>
      </c>
      <c r="U924">
        <v>11200</v>
      </c>
      <c r="V924">
        <v>14.5</v>
      </c>
      <c r="W924" t="s">
        <v>31</v>
      </c>
    </row>
    <row r="925" spans="1:23" x14ac:dyDescent="0.3">
      <c r="A925" t="s">
        <v>1682</v>
      </c>
      <c r="B925" t="s">
        <v>1813</v>
      </c>
      <c r="C925">
        <v>32</v>
      </c>
      <c r="D925" t="s">
        <v>41</v>
      </c>
      <c r="E925" t="s">
        <v>71</v>
      </c>
      <c r="F925" t="s">
        <v>42</v>
      </c>
      <c r="G925" t="s">
        <v>63</v>
      </c>
      <c r="H925" t="s">
        <v>225</v>
      </c>
      <c r="I925" t="s">
        <v>27</v>
      </c>
      <c r="J925" t="s">
        <v>1683</v>
      </c>
      <c r="K925">
        <v>2022</v>
      </c>
      <c r="L925">
        <v>2</v>
      </c>
      <c r="M925">
        <v>6</v>
      </c>
      <c r="N925" t="s">
        <v>85</v>
      </c>
      <c r="O925">
        <v>2</v>
      </c>
      <c r="P925">
        <v>2</v>
      </c>
      <c r="Q925" t="s">
        <v>31</v>
      </c>
      <c r="R925">
        <v>23</v>
      </c>
      <c r="S925">
        <v>13</v>
      </c>
      <c r="T925">
        <v>40894</v>
      </c>
      <c r="U925">
        <v>7800</v>
      </c>
      <c r="V925">
        <v>7</v>
      </c>
      <c r="W925" t="s">
        <v>31</v>
      </c>
    </row>
    <row r="926" spans="1:23" x14ac:dyDescent="0.3">
      <c r="A926" t="s">
        <v>1684</v>
      </c>
      <c r="B926" t="s">
        <v>2214</v>
      </c>
      <c r="C926">
        <v>49</v>
      </c>
      <c r="D926" t="s">
        <v>33</v>
      </c>
      <c r="E926" t="s">
        <v>56</v>
      </c>
      <c r="F926" t="s">
        <v>57</v>
      </c>
      <c r="G926" t="s">
        <v>25</v>
      </c>
      <c r="H926" t="s">
        <v>205</v>
      </c>
      <c r="I926" t="s">
        <v>65</v>
      </c>
      <c r="J926" t="s">
        <v>111</v>
      </c>
      <c r="K926">
        <v>2021</v>
      </c>
      <c r="L926">
        <v>3</v>
      </c>
      <c r="M926">
        <v>19</v>
      </c>
      <c r="N926" t="s">
        <v>98</v>
      </c>
      <c r="O926">
        <v>2</v>
      </c>
      <c r="P926">
        <v>1</v>
      </c>
      <c r="Q926" t="s">
        <v>31</v>
      </c>
      <c r="R926">
        <v>11</v>
      </c>
      <c r="S926">
        <v>37</v>
      </c>
      <c r="T926">
        <v>69709</v>
      </c>
      <c r="U926">
        <v>4200</v>
      </c>
      <c r="V926">
        <v>12.8</v>
      </c>
      <c r="W926" t="s">
        <v>30</v>
      </c>
    </row>
    <row r="927" spans="1:23" x14ac:dyDescent="0.3">
      <c r="A927" t="s">
        <v>1685</v>
      </c>
      <c r="B927" t="s">
        <v>2153</v>
      </c>
      <c r="C927">
        <v>47</v>
      </c>
      <c r="D927" t="s">
        <v>33</v>
      </c>
      <c r="E927" t="s">
        <v>23</v>
      </c>
      <c r="F927" t="s">
        <v>42</v>
      </c>
      <c r="G927" t="s">
        <v>43</v>
      </c>
      <c r="H927" t="s">
        <v>72</v>
      </c>
      <c r="I927" t="s">
        <v>27</v>
      </c>
      <c r="J927" t="s">
        <v>469</v>
      </c>
      <c r="K927">
        <v>2024</v>
      </c>
      <c r="L927">
        <v>0</v>
      </c>
      <c r="M927">
        <v>18</v>
      </c>
      <c r="N927" t="s">
        <v>98</v>
      </c>
      <c r="O927">
        <v>3</v>
      </c>
      <c r="P927">
        <v>3</v>
      </c>
      <c r="Q927" t="s">
        <v>30</v>
      </c>
      <c r="R927">
        <v>24</v>
      </c>
      <c r="S927">
        <v>17</v>
      </c>
      <c r="T927">
        <v>109053</v>
      </c>
      <c r="U927">
        <v>6400</v>
      </c>
      <c r="V927">
        <v>10</v>
      </c>
      <c r="W927" t="s">
        <v>31</v>
      </c>
    </row>
    <row r="928" spans="1:23" x14ac:dyDescent="0.3">
      <c r="A928" t="s">
        <v>1686</v>
      </c>
      <c r="B928" t="s">
        <v>1816</v>
      </c>
      <c r="C928">
        <v>46</v>
      </c>
      <c r="D928" t="s">
        <v>41</v>
      </c>
      <c r="E928" t="s">
        <v>34</v>
      </c>
      <c r="F928" t="s">
        <v>153</v>
      </c>
      <c r="G928" t="s">
        <v>43</v>
      </c>
      <c r="H928" t="s">
        <v>72</v>
      </c>
      <c r="I928" t="s">
        <v>27</v>
      </c>
      <c r="J928" t="s">
        <v>662</v>
      </c>
      <c r="K928">
        <v>2024</v>
      </c>
      <c r="L928">
        <v>0</v>
      </c>
      <c r="M928">
        <v>17</v>
      </c>
      <c r="N928" t="s">
        <v>29</v>
      </c>
      <c r="O928">
        <v>1</v>
      </c>
      <c r="P928">
        <v>5</v>
      </c>
      <c r="Q928" t="s">
        <v>30</v>
      </c>
      <c r="R928">
        <v>13</v>
      </c>
      <c r="S928">
        <v>16</v>
      </c>
      <c r="T928">
        <v>111114</v>
      </c>
      <c r="U928">
        <v>14800</v>
      </c>
      <c r="V928">
        <v>14.5</v>
      </c>
      <c r="W928" t="s">
        <v>31</v>
      </c>
    </row>
    <row r="929" spans="1:23" x14ac:dyDescent="0.3">
      <c r="A929" t="s">
        <v>1687</v>
      </c>
      <c r="B929" t="s">
        <v>2042</v>
      </c>
      <c r="C929">
        <v>29</v>
      </c>
      <c r="D929" t="s">
        <v>41</v>
      </c>
      <c r="E929" t="s">
        <v>34</v>
      </c>
      <c r="F929" t="s">
        <v>75</v>
      </c>
      <c r="G929" t="s">
        <v>100</v>
      </c>
      <c r="H929" t="s">
        <v>145</v>
      </c>
      <c r="I929" t="s">
        <v>27</v>
      </c>
      <c r="J929" t="s">
        <v>1470</v>
      </c>
      <c r="K929">
        <v>2022</v>
      </c>
      <c r="L929">
        <v>2</v>
      </c>
      <c r="M929">
        <v>5</v>
      </c>
      <c r="N929" t="s">
        <v>85</v>
      </c>
      <c r="O929">
        <v>1</v>
      </c>
      <c r="P929">
        <v>3</v>
      </c>
      <c r="Q929" t="s">
        <v>30</v>
      </c>
      <c r="R929">
        <v>23</v>
      </c>
      <c r="S929">
        <v>62</v>
      </c>
      <c r="T929">
        <v>51994</v>
      </c>
      <c r="U929">
        <v>11200</v>
      </c>
      <c r="V929">
        <v>3.5</v>
      </c>
      <c r="W929" t="s">
        <v>31</v>
      </c>
    </row>
    <row r="930" spans="1:23" x14ac:dyDescent="0.3">
      <c r="A930" t="s">
        <v>1688</v>
      </c>
      <c r="B930" t="s">
        <v>2215</v>
      </c>
      <c r="C930">
        <v>40</v>
      </c>
      <c r="D930" t="s">
        <v>41</v>
      </c>
      <c r="E930" t="s">
        <v>71</v>
      </c>
      <c r="F930" t="s">
        <v>137</v>
      </c>
      <c r="G930" t="s">
        <v>52</v>
      </c>
      <c r="H930" t="s">
        <v>132</v>
      </c>
      <c r="I930" t="s">
        <v>27</v>
      </c>
      <c r="J930" t="s">
        <v>593</v>
      </c>
      <c r="K930">
        <v>2024</v>
      </c>
      <c r="L930">
        <v>0</v>
      </c>
      <c r="M930">
        <v>14</v>
      </c>
      <c r="N930" t="s">
        <v>85</v>
      </c>
      <c r="O930">
        <v>4</v>
      </c>
      <c r="P930">
        <v>4</v>
      </c>
      <c r="Q930" t="s">
        <v>31</v>
      </c>
      <c r="R930">
        <v>13</v>
      </c>
      <c r="S930">
        <v>2</v>
      </c>
      <c r="T930">
        <v>79527</v>
      </c>
      <c r="U930">
        <v>13700</v>
      </c>
      <c r="V930">
        <v>11.4</v>
      </c>
      <c r="W930" t="s">
        <v>31</v>
      </c>
    </row>
    <row r="931" spans="1:23" x14ac:dyDescent="0.3">
      <c r="A931" t="s">
        <v>1689</v>
      </c>
      <c r="B931" t="s">
        <v>2096</v>
      </c>
      <c r="C931">
        <v>36</v>
      </c>
      <c r="D931" t="s">
        <v>33</v>
      </c>
      <c r="E931" t="s">
        <v>34</v>
      </c>
      <c r="F931" t="s">
        <v>35</v>
      </c>
      <c r="G931" t="s">
        <v>36</v>
      </c>
      <c r="H931" t="s">
        <v>37</v>
      </c>
      <c r="I931" t="s">
        <v>27</v>
      </c>
      <c r="J931" t="s">
        <v>1690</v>
      </c>
      <c r="K931">
        <v>2023</v>
      </c>
      <c r="L931">
        <v>1</v>
      </c>
      <c r="M931">
        <v>6</v>
      </c>
      <c r="N931" t="s">
        <v>29</v>
      </c>
      <c r="O931">
        <v>5</v>
      </c>
      <c r="P931">
        <v>2</v>
      </c>
      <c r="Q931" t="s">
        <v>31</v>
      </c>
      <c r="R931">
        <v>17</v>
      </c>
      <c r="S931">
        <v>0</v>
      </c>
      <c r="T931">
        <v>80649</v>
      </c>
      <c r="U931">
        <v>11100</v>
      </c>
      <c r="V931">
        <v>3</v>
      </c>
      <c r="W931" t="s">
        <v>31</v>
      </c>
    </row>
    <row r="932" spans="1:23" x14ac:dyDescent="0.3">
      <c r="A932" t="s">
        <v>1691</v>
      </c>
      <c r="B932" t="s">
        <v>2216</v>
      </c>
      <c r="C932">
        <v>41</v>
      </c>
      <c r="D932" t="s">
        <v>33</v>
      </c>
      <c r="E932" t="s">
        <v>34</v>
      </c>
      <c r="F932" t="s">
        <v>75</v>
      </c>
      <c r="G932" t="s">
        <v>43</v>
      </c>
      <c r="H932" t="s">
        <v>96</v>
      </c>
      <c r="I932" t="s">
        <v>27</v>
      </c>
      <c r="J932" t="s">
        <v>1692</v>
      </c>
      <c r="K932">
        <v>2024</v>
      </c>
      <c r="L932">
        <v>0</v>
      </c>
      <c r="M932">
        <v>19</v>
      </c>
      <c r="N932" t="s">
        <v>29</v>
      </c>
      <c r="O932">
        <v>5</v>
      </c>
      <c r="P932">
        <v>2</v>
      </c>
      <c r="Q932" t="s">
        <v>31</v>
      </c>
      <c r="R932">
        <v>16</v>
      </c>
      <c r="S932">
        <v>78</v>
      </c>
      <c r="T932">
        <v>122180</v>
      </c>
      <c r="U932">
        <v>14300</v>
      </c>
      <c r="V932">
        <v>12.9</v>
      </c>
      <c r="W932" t="s">
        <v>31</v>
      </c>
    </row>
    <row r="933" spans="1:23" x14ac:dyDescent="0.3">
      <c r="A933" t="s">
        <v>1693</v>
      </c>
      <c r="B933" t="s">
        <v>2046</v>
      </c>
      <c r="C933">
        <v>33</v>
      </c>
      <c r="D933" t="s">
        <v>33</v>
      </c>
      <c r="E933" t="s">
        <v>34</v>
      </c>
      <c r="F933" t="s">
        <v>35</v>
      </c>
      <c r="G933" t="s">
        <v>52</v>
      </c>
      <c r="H933" t="s">
        <v>320</v>
      </c>
      <c r="I933" t="s">
        <v>27</v>
      </c>
      <c r="J933" t="s">
        <v>689</v>
      </c>
      <c r="K933">
        <v>2022</v>
      </c>
      <c r="L933">
        <v>2</v>
      </c>
      <c r="M933">
        <v>3</v>
      </c>
      <c r="N933" t="s">
        <v>98</v>
      </c>
      <c r="O933">
        <v>1</v>
      </c>
      <c r="P933">
        <v>2</v>
      </c>
      <c r="Q933" t="s">
        <v>31</v>
      </c>
      <c r="R933">
        <v>13</v>
      </c>
      <c r="S933">
        <v>70</v>
      </c>
      <c r="T933">
        <v>52474</v>
      </c>
      <c r="U933">
        <v>4400</v>
      </c>
      <c r="V933">
        <v>14</v>
      </c>
      <c r="W933" t="s">
        <v>31</v>
      </c>
    </row>
    <row r="934" spans="1:23" x14ac:dyDescent="0.3">
      <c r="A934" t="s">
        <v>1694</v>
      </c>
      <c r="B934" t="s">
        <v>2217</v>
      </c>
      <c r="C934">
        <v>41</v>
      </c>
      <c r="D934" t="s">
        <v>22</v>
      </c>
      <c r="E934" t="s">
        <v>34</v>
      </c>
      <c r="F934" t="s">
        <v>75</v>
      </c>
      <c r="G934" t="s">
        <v>36</v>
      </c>
      <c r="H934" t="s">
        <v>68</v>
      </c>
      <c r="I934" t="s">
        <v>27</v>
      </c>
      <c r="J934" t="s">
        <v>605</v>
      </c>
      <c r="K934">
        <v>2021</v>
      </c>
      <c r="L934">
        <v>3</v>
      </c>
      <c r="M934">
        <v>17</v>
      </c>
      <c r="N934" t="s">
        <v>98</v>
      </c>
      <c r="O934">
        <v>2</v>
      </c>
      <c r="P934">
        <v>4</v>
      </c>
      <c r="Q934" t="s">
        <v>31</v>
      </c>
      <c r="R934">
        <v>23</v>
      </c>
      <c r="S934">
        <v>76</v>
      </c>
      <c r="T934">
        <v>59785</v>
      </c>
      <c r="U934">
        <v>3600</v>
      </c>
      <c r="V934">
        <v>11.1</v>
      </c>
      <c r="W934" t="s">
        <v>31</v>
      </c>
    </row>
    <row r="935" spans="1:23" x14ac:dyDescent="0.3">
      <c r="A935" t="s">
        <v>1695</v>
      </c>
      <c r="B935" t="s">
        <v>1861</v>
      </c>
      <c r="C935">
        <v>44</v>
      </c>
      <c r="D935" t="s">
        <v>33</v>
      </c>
      <c r="E935" t="s">
        <v>34</v>
      </c>
      <c r="F935" t="s">
        <v>42</v>
      </c>
      <c r="G935" t="s">
        <v>36</v>
      </c>
      <c r="H935" t="s">
        <v>76</v>
      </c>
      <c r="I935" t="s">
        <v>27</v>
      </c>
      <c r="J935" t="s">
        <v>1696</v>
      </c>
      <c r="K935">
        <v>2021</v>
      </c>
      <c r="L935">
        <v>3</v>
      </c>
      <c r="M935">
        <v>16</v>
      </c>
      <c r="N935" t="s">
        <v>29</v>
      </c>
      <c r="O935">
        <v>3</v>
      </c>
      <c r="P935">
        <v>2</v>
      </c>
      <c r="Q935" t="s">
        <v>30</v>
      </c>
      <c r="R935">
        <v>24</v>
      </c>
      <c r="S935">
        <v>9</v>
      </c>
      <c r="T935">
        <v>47847</v>
      </c>
      <c r="U935">
        <v>6000</v>
      </c>
      <c r="V935">
        <v>7.4</v>
      </c>
      <c r="W935" t="s">
        <v>31</v>
      </c>
    </row>
    <row r="936" spans="1:23" x14ac:dyDescent="0.3">
      <c r="A936" t="s">
        <v>1697</v>
      </c>
      <c r="B936" t="s">
        <v>2218</v>
      </c>
      <c r="C936">
        <v>31</v>
      </c>
      <c r="D936" t="s">
        <v>41</v>
      </c>
      <c r="E936" t="s">
        <v>23</v>
      </c>
      <c r="F936" t="s">
        <v>51</v>
      </c>
      <c r="G936" t="s">
        <v>82</v>
      </c>
      <c r="H936" t="s">
        <v>83</v>
      </c>
      <c r="I936" t="s">
        <v>27</v>
      </c>
      <c r="J936" t="s">
        <v>731</v>
      </c>
      <c r="K936">
        <v>2021</v>
      </c>
      <c r="L936">
        <v>3</v>
      </c>
      <c r="M936">
        <v>4</v>
      </c>
      <c r="N936" t="s">
        <v>29</v>
      </c>
      <c r="O936">
        <v>1</v>
      </c>
      <c r="P936">
        <v>2</v>
      </c>
      <c r="Q936" t="s">
        <v>31</v>
      </c>
      <c r="R936">
        <v>22</v>
      </c>
      <c r="S936">
        <v>50</v>
      </c>
      <c r="T936">
        <v>72459</v>
      </c>
      <c r="U936">
        <v>8800</v>
      </c>
      <c r="V936">
        <v>6</v>
      </c>
      <c r="W936" t="s">
        <v>31</v>
      </c>
    </row>
    <row r="937" spans="1:23" x14ac:dyDescent="0.3">
      <c r="A937" t="s">
        <v>1698</v>
      </c>
      <c r="B937" t="s">
        <v>2075</v>
      </c>
      <c r="C937">
        <v>35</v>
      </c>
      <c r="D937" t="s">
        <v>41</v>
      </c>
      <c r="E937" t="s">
        <v>34</v>
      </c>
      <c r="F937" t="s">
        <v>24</v>
      </c>
      <c r="G937" t="s">
        <v>117</v>
      </c>
      <c r="H937" t="s">
        <v>118</v>
      </c>
      <c r="I937" t="s">
        <v>27</v>
      </c>
      <c r="J937" t="s">
        <v>97</v>
      </c>
      <c r="K937">
        <v>2024</v>
      </c>
      <c r="L937">
        <v>0</v>
      </c>
      <c r="M937">
        <v>12</v>
      </c>
      <c r="N937" t="s">
        <v>29</v>
      </c>
      <c r="O937">
        <v>3</v>
      </c>
      <c r="P937">
        <v>4</v>
      </c>
      <c r="Q937" t="s">
        <v>30</v>
      </c>
      <c r="R937">
        <v>20</v>
      </c>
      <c r="S937">
        <v>1</v>
      </c>
      <c r="T937">
        <v>84374</v>
      </c>
      <c r="U937">
        <v>10600</v>
      </c>
      <c r="V937">
        <v>10.1</v>
      </c>
      <c r="W937" t="s">
        <v>31</v>
      </c>
    </row>
    <row r="938" spans="1:23" x14ac:dyDescent="0.3">
      <c r="A938" t="s">
        <v>1699</v>
      </c>
      <c r="B938" t="s">
        <v>2012</v>
      </c>
      <c r="C938">
        <v>40</v>
      </c>
      <c r="D938" t="s">
        <v>33</v>
      </c>
      <c r="E938" t="s">
        <v>61</v>
      </c>
      <c r="F938" t="s">
        <v>153</v>
      </c>
      <c r="G938" t="s">
        <v>82</v>
      </c>
      <c r="H938" t="s">
        <v>323</v>
      </c>
      <c r="I938" t="s">
        <v>27</v>
      </c>
      <c r="J938" t="s">
        <v>1700</v>
      </c>
      <c r="K938">
        <v>2021</v>
      </c>
      <c r="L938">
        <v>3</v>
      </c>
      <c r="M938">
        <v>16</v>
      </c>
      <c r="N938" t="s">
        <v>29</v>
      </c>
      <c r="O938">
        <v>5</v>
      </c>
      <c r="P938">
        <v>1</v>
      </c>
      <c r="Q938" t="s">
        <v>31</v>
      </c>
      <c r="R938">
        <v>17</v>
      </c>
      <c r="S938">
        <v>76</v>
      </c>
      <c r="T938">
        <v>72001</v>
      </c>
      <c r="U938">
        <v>10300</v>
      </c>
      <c r="V938">
        <v>6.7</v>
      </c>
      <c r="W938" t="s">
        <v>31</v>
      </c>
    </row>
    <row r="939" spans="1:23" x14ac:dyDescent="0.3">
      <c r="A939" t="s">
        <v>1701</v>
      </c>
      <c r="B939" t="s">
        <v>1968</v>
      </c>
      <c r="C939">
        <v>46</v>
      </c>
      <c r="D939" t="s">
        <v>41</v>
      </c>
      <c r="E939" t="s">
        <v>34</v>
      </c>
      <c r="F939" t="s">
        <v>75</v>
      </c>
      <c r="G939" t="s">
        <v>63</v>
      </c>
      <c r="H939" t="s">
        <v>225</v>
      </c>
      <c r="I939" t="s">
        <v>27</v>
      </c>
      <c r="J939" t="s">
        <v>1096</v>
      </c>
      <c r="K939">
        <v>2023</v>
      </c>
      <c r="L939">
        <v>1</v>
      </c>
      <c r="M939">
        <v>20</v>
      </c>
      <c r="N939" t="s">
        <v>39</v>
      </c>
      <c r="O939">
        <v>4</v>
      </c>
      <c r="P939">
        <v>5</v>
      </c>
      <c r="Q939" t="s">
        <v>31</v>
      </c>
      <c r="R939">
        <v>20</v>
      </c>
      <c r="S939">
        <v>43</v>
      </c>
      <c r="T939">
        <v>37466</v>
      </c>
      <c r="U939">
        <v>1000</v>
      </c>
      <c r="V939">
        <v>10.3</v>
      </c>
      <c r="W939" t="s">
        <v>31</v>
      </c>
    </row>
    <row r="940" spans="1:23" x14ac:dyDescent="0.3">
      <c r="A940" t="s">
        <v>1702</v>
      </c>
      <c r="B940" t="s">
        <v>1853</v>
      </c>
      <c r="C940">
        <v>49</v>
      </c>
      <c r="D940" t="s">
        <v>41</v>
      </c>
      <c r="E940" t="s">
        <v>34</v>
      </c>
      <c r="F940" t="s">
        <v>137</v>
      </c>
      <c r="G940" t="s">
        <v>52</v>
      </c>
      <c r="H940" t="s">
        <v>53</v>
      </c>
      <c r="I940" t="s">
        <v>27</v>
      </c>
      <c r="J940" t="s">
        <v>1703</v>
      </c>
      <c r="K940">
        <v>2021</v>
      </c>
      <c r="L940">
        <v>3</v>
      </c>
      <c r="M940">
        <v>19</v>
      </c>
      <c r="N940" t="s">
        <v>29</v>
      </c>
      <c r="O940">
        <v>2</v>
      </c>
      <c r="P940">
        <v>1</v>
      </c>
      <c r="Q940" t="s">
        <v>31</v>
      </c>
      <c r="R940">
        <v>1</v>
      </c>
      <c r="S940">
        <v>20</v>
      </c>
      <c r="T940">
        <v>64006</v>
      </c>
      <c r="U940">
        <v>8600</v>
      </c>
      <c r="V940">
        <v>5</v>
      </c>
      <c r="W940" t="s">
        <v>31</v>
      </c>
    </row>
    <row r="941" spans="1:23" x14ac:dyDescent="0.3">
      <c r="A941" t="s">
        <v>1704</v>
      </c>
      <c r="B941" t="s">
        <v>1820</v>
      </c>
      <c r="C941">
        <v>40</v>
      </c>
      <c r="D941" t="s">
        <v>41</v>
      </c>
      <c r="E941" t="s">
        <v>34</v>
      </c>
      <c r="F941" t="s">
        <v>42</v>
      </c>
      <c r="G941" t="s">
        <v>43</v>
      </c>
      <c r="H941" t="s">
        <v>48</v>
      </c>
      <c r="I941" t="s">
        <v>79</v>
      </c>
      <c r="J941" t="s">
        <v>1644</v>
      </c>
      <c r="K941">
        <v>2024</v>
      </c>
      <c r="L941">
        <v>0</v>
      </c>
      <c r="M941">
        <v>18</v>
      </c>
      <c r="N941" t="s">
        <v>29</v>
      </c>
      <c r="O941">
        <v>5</v>
      </c>
      <c r="P941">
        <v>5</v>
      </c>
      <c r="Q941" t="s">
        <v>30</v>
      </c>
      <c r="R941">
        <v>6</v>
      </c>
      <c r="S941">
        <v>5</v>
      </c>
      <c r="T941">
        <v>93480</v>
      </c>
      <c r="U941">
        <v>12700</v>
      </c>
      <c r="V941">
        <v>7.3</v>
      </c>
      <c r="W941" t="s">
        <v>31</v>
      </c>
    </row>
    <row r="942" spans="1:23" x14ac:dyDescent="0.3">
      <c r="A942" t="s">
        <v>1705</v>
      </c>
      <c r="B942" t="s">
        <v>2089</v>
      </c>
      <c r="C942">
        <v>42</v>
      </c>
      <c r="D942" t="s">
        <v>41</v>
      </c>
      <c r="E942" t="s">
        <v>61</v>
      </c>
      <c r="F942" t="s">
        <v>51</v>
      </c>
      <c r="G942" t="s">
        <v>52</v>
      </c>
      <c r="H942" t="s">
        <v>208</v>
      </c>
      <c r="I942" t="s">
        <v>27</v>
      </c>
      <c r="J942" t="s">
        <v>434</v>
      </c>
      <c r="K942">
        <v>2022</v>
      </c>
      <c r="L942">
        <v>2</v>
      </c>
      <c r="M942">
        <v>16</v>
      </c>
      <c r="N942" t="s">
        <v>29</v>
      </c>
      <c r="O942">
        <v>1</v>
      </c>
      <c r="P942">
        <v>1</v>
      </c>
      <c r="Q942" t="s">
        <v>31</v>
      </c>
      <c r="R942">
        <v>0</v>
      </c>
      <c r="S942">
        <v>27</v>
      </c>
      <c r="T942">
        <v>51945</v>
      </c>
      <c r="U942">
        <v>6000</v>
      </c>
      <c r="V942">
        <v>13.4</v>
      </c>
      <c r="W942" t="s">
        <v>30</v>
      </c>
    </row>
    <row r="943" spans="1:23" x14ac:dyDescent="0.3">
      <c r="A943" t="s">
        <v>1706</v>
      </c>
      <c r="B943" t="s">
        <v>2018</v>
      </c>
      <c r="C943">
        <v>47</v>
      </c>
      <c r="D943" t="s">
        <v>33</v>
      </c>
      <c r="E943" t="s">
        <v>71</v>
      </c>
      <c r="F943" t="s">
        <v>62</v>
      </c>
      <c r="G943" t="s">
        <v>82</v>
      </c>
      <c r="H943" t="s">
        <v>286</v>
      </c>
      <c r="I943" t="s">
        <v>27</v>
      </c>
      <c r="J943" t="s">
        <v>1707</v>
      </c>
      <c r="K943">
        <v>2024</v>
      </c>
      <c r="L943">
        <v>0</v>
      </c>
      <c r="M943">
        <v>20</v>
      </c>
      <c r="N943" t="s">
        <v>39</v>
      </c>
      <c r="O943">
        <v>4</v>
      </c>
      <c r="P943">
        <v>5</v>
      </c>
      <c r="Q943" t="s">
        <v>30</v>
      </c>
      <c r="R943">
        <v>21</v>
      </c>
      <c r="S943">
        <v>37</v>
      </c>
      <c r="T943">
        <v>46132</v>
      </c>
      <c r="U943">
        <v>1600</v>
      </c>
      <c r="V943">
        <v>7.6</v>
      </c>
      <c r="W943" t="s">
        <v>30</v>
      </c>
    </row>
    <row r="944" spans="1:23" x14ac:dyDescent="0.3">
      <c r="A944" t="s">
        <v>1708</v>
      </c>
      <c r="B944" t="s">
        <v>2024</v>
      </c>
      <c r="C944">
        <v>34</v>
      </c>
      <c r="D944" t="s">
        <v>41</v>
      </c>
      <c r="E944" t="s">
        <v>71</v>
      </c>
      <c r="F944" t="s">
        <v>24</v>
      </c>
      <c r="G944" t="s">
        <v>52</v>
      </c>
      <c r="H944" t="s">
        <v>320</v>
      </c>
      <c r="I944" t="s">
        <v>79</v>
      </c>
      <c r="J944" t="s">
        <v>1709</v>
      </c>
      <c r="K944">
        <v>2024</v>
      </c>
      <c r="L944">
        <v>0</v>
      </c>
      <c r="M944">
        <v>4</v>
      </c>
      <c r="N944" t="s">
        <v>98</v>
      </c>
      <c r="O944">
        <v>1</v>
      </c>
      <c r="P944">
        <v>1</v>
      </c>
      <c r="Q944" t="s">
        <v>30</v>
      </c>
      <c r="R944">
        <v>7</v>
      </c>
      <c r="S944">
        <v>34</v>
      </c>
      <c r="T944">
        <v>72161</v>
      </c>
      <c r="U944">
        <v>5700</v>
      </c>
      <c r="V944">
        <v>3.4</v>
      </c>
      <c r="W944" t="s">
        <v>31</v>
      </c>
    </row>
    <row r="945" spans="1:23" x14ac:dyDescent="0.3">
      <c r="A945" t="s">
        <v>1710</v>
      </c>
      <c r="B945" t="s">
        <v>1867</v>
      </c>
      <c r="C945">
        <v>36</v>
      </c>
      <c r="D945" t="s">
        <v>41</v>
      </c>
      <c r="E945" t="s">
        <v>23</v>
      </c>
      <c r="F945" t="s">
        <v>153</v>
      </c>
      <c r="G945" t="s">
        <v>52</v>
      </c>
      <c r="H945" t="s">
        <v>208</v>
      </c>
      <c r="I945" t="s">
        <v>27</v>
      </c>
      <c r="J945" t="s">
        <v>1696</v>
      </c>
      <c r="K945">
        <v>2021</v>
      </c>
      <c r="L945">
        <v>3</v>
      </c>
      <c r="M945">
        <v>9</v>
      </c>
      <c r="N945" t="s">
        <v>39</v>
      </c>
      <c r="O945">
        <v>2</v>
      </c>
      <c r="P945">
        <v>1</v>
      </c>
      <c r="Q945" t="s">
        <v>31</v>
      </c>
      <c r="R945">
        <v>10</v>
      </c>
      <c r="S945">
        <v>44</v>
      </c>
      <c r="T945">
        <v>81610</v>
      </c>
      <c r="U945">
        <v>2400</v>
      </c>
      <c r="V945">
        <v>14</v>
      </c>
      <c r="W945" t="s">
        <v>30</v>
      </c>
    </row>
    <row r="946" spans="1:23" x14ac:dyDescent="0.3">
      <c r="A946" t="s">
        <v>1711</v>
      </c>
      <c r="B946" t="s">
        <v>1889</v>
      </c>
      <c r="C946">
        <v>29</v>
      </c>
      <c r="D946" t="s">
        <v>33</v>
      </c>
      <c r="E946" t="s">
        <v>71</v>
      </c>
      <c r="F946" t="s">
        <v>47</v>
      </c>
      <c r="G946" t="s">
        <v>43</v>
      </c>
      <c r="H946" t="s">
        <v>48</v>
      </c>
      <c r="I946" t="s">
        <v>27</v>
      </c>
      <c r="J946" t="s">
        <v>1712</v>
      </c>
      <c r="K946">
        <v>2024</v>
      </c>
      <c r="L946">
        <v>0</v>
      </c>
      <c r="M946">
        <v>6</v>
      </c>
      <c r="N946" t="s">
        <v>29</v>
      </c>
      <c r="O946">
        <v>4</v>
      </c>
      <c r="P946">
        <v>4</v>
      </c>
      <c r="Q946" t="s">
        <v>31</v>
      </c>
      <c r="R946">
        <v>9</v>
      </c>
      <c r="S946">
        <v>69</v>
      </c>
      <c r="T946">
        <v>113487</v>
      </c>
      <c r="U946">
        <v>16000</v>
      </c>
      <c r="V946">
        <v>10.8</v>
      </c>
      <c r="W946" t="s">
        <v>31</v>
      </c>
    </row>
    <row r="947" spans="1:23" x14ac:dyDescent="0.3">
      <c r="A947" t="s">
        <v>1713</v>
      </c>
      <c r="B947" t="s">
        <v>2219</v>
      </c>
      <c r="C947">
        <v>35</v>
      </c>
      <c r="D947" t="s">
        <v>33</v>
      </c>
      <c r="E947" t="s">
        <v>34</v>
      </c>
      <c r="F947" t="s">
        <v>24</v>
      </c>
      <c r="G947" t="s">
        <v>36</v>
      </c>
      <c r="H947" t="s">
        <v>68</v>
      </c>
      <c r="I947" t="s">
        <v>27</v>
      </c>
      <c r="J947" t="s">
        <v>1714</v>
      </c>
      <c r="K947">
        <v>2022</v>
      </c>
      <c r="L947">
        <v>2</v>
      </c>
      <c r="M947">
        <v>11</v>
      </c>
      <c r="N947" t="s">
        <v>29</v>
      </c>
      <c r="O947">
        <v>2</v>
      </c>
      <c r="P947">
        <v>1</v>
      </c>
      <c r="Q947" t="s">
        <v>30</v>
      </c>
      <c r="R947">
        <v>5</v>
      </c>
      <c r="S947">
        <v>76</v>
      </c>
      <c r="T947">
        <v>60188</v>
      </c>
      <c r="U947">
        <v>6700</v>
      </c>
      <c r="V947">
        <v>8.9</v>
      </c>
      <c r="W947" t="s">
        <v>30</v>
      </c>
    </row>
    <row r="948" spans="1:23" x14ac:dyDescent="0.3">
      <c r="A948" t="s">
        <v>1715</v>
      </c>
      <c r="B948" t="s">
        <v>1892</v>
      </c>
      <c r="C948">
        <v>26</v>
      </c>
      <c r="D948" t="s">
        <v>41</v>
      </c>
      <c r="E948" t="s">
        <v>56</v>
      </c>
      <c r="F948" t="s">
        <v>153</v>
      </c>
      <c r="G948" t="s">
        <v>117</v>
      </c>
      <c r="H948" t="s">
        <v>298</v>
      </c>
      <c r="I948" t="s">
        <v>27</v>
      </c>
      <c r="J948" t="s">
        <v>1716</v>
      </c>
      <c r="K948">
        <v>2022</v>
      </c>
      <c r="L948">
        <v>2</v>
      </c>
      <c r="M948">
        <v>3</v>
      </c>
      <c r="N948" t="s">
        <v>29</v>
      </c>
      <c r="O948">
        <v>5</v>
      </c>
      <c r="P948">
        <v>5</v>
      </c>
      <c r="Q948" t="s">
        <v>31</v>
      </c>
      <c r="R948">
        <v>23</v>
      </c>
      <c r="S948">
        <v>31</v>
      </c>
      <c r="T948">
        <v>85952</v>
      </c>
      <c r="U948">
        <v>11500</v>
      </c>
      <c r="V948">
        <v>4.7</v>
      </c>
      <c r="W948" t="s">
        <v>31</v>
      </c>
    </row>
    <row r="949" spans="1:23" x14ac:dyDescent="0.3">
      <c r="A949" t="s">
        <v>1717</v>
      </c>
      <c r="B949" t="s">
        <v>1928</v>
      </c>
      <c r="C949">
        <v>30</v>
      </c>
      <c r="D949" t="s">
        <v>33</v>
      </c>
      <c r="E949" t="s">
        <v>71</v>
      </c>
      <c r="F949" t="s">
        <v>57</v>
      </c>
      <c r="G949" t="s">
        <v>36</v>
      </c>
      <c r="H949" t="s">
        <v>68</v>
      </c>
      <c r="I949" t="s">
        <v>65</v>
      </c>
      <c r="J949" t="s">
        <v>1718</v>
      </c>
      <c r="K949">
        <v>2023</v>
      </c>
      <c r="L949">
        <v>1</v>
      </c>
      <c r="M949">
        <v>6</v>
      </c>
      <c r="N949" t="s">
        <v>85</v>
      </c>
      <c r="O949">
        <v>3</v>
      </c>
      <c r="P949">
        <v>4</v>
      </c>
      <c r="Q949" t="s">
        <v>30</v>
      </c>
      <c r="R949">
        <v>11</v>
      </c>
      <c r="S949">
        <v>78</v>
      </c>
      <c r="T949">
        <v>65006</v>
      </c>
      <c r="U949">
        <v>14800</v>
      </c>
      <c r="V949">
        <v>4.7</v>
      </c>
      <c r="W949" t="s">
        <v>31</v>
      </c>
    </row>
    <row r="950" spans="1:23" x14ac:dyDescent="0.3">
      <c r="A950" t="s">
        <v>1719</v>
      </c>
      <c r="B950" t="s">
        <v>2000</v>
      </c>
      <c r="C950">
        <v>29</v>
      </c>
      <c r="D950" t="s">
        <v>41</v>
      </c>
      <c r="E950" t="s">
        <v>34</v>
      </c>
      <c r="F950" t="s">
        <v>75</v>
      </c>
      <c r="G950" t="s">
        <v>117</v>
      </c>
      <c r="H950" t="s">
        <v>298</v>
      </c>
      <c r="I950" t="s">
        <v>27</v>
      </c>
      <c r="J950" t="s">
        <v>1720</v>
      </c>
      <c r="K950">
        <v>2021</v>
      </c>
      <c r="L950">
        <v>3</v>
      </c>
      <c r="M950">
        <v>2</v>
      </c>
      <c r="N950" t="s">
        <v>29</v>
      </c>
      <c r="O950">
        <v>2</v>
      </c>
      <c r="P950">
        <v>3</v>
      </c>
      <c r="Q950" t="s">
        <v>31</v>
      </c>
      <c r="R950">
        <v>14</v>
      </c>
      <c r="S950">
        <v>67</v>
      </c>
      <c r="T950">
        <v>61078</v>
      </c>
      <c r="U950">
        <v>7200</v>
      </c>
      <c r="V950">
        <v>6.2</v>
      </c>
      <c r="W950" t="s">
        <v>31</v>
      </c>
    </row>
    <row r="951" spans="1:23" x14ac:dyDescent="0.3">
      <c r="A951" t="s">
        <v>1721</v>
      </c>
      <c r="B951" t="s">
        <v>1988</v>
      </c>
      <c r="C951">
        <v>45</v>
      </c>
      <c r="D951" t="s">
        <v>41</v>
      </c>
      <c r="E951" t="s">
        <v>71</v>
      </c>
      <c r="F951" t="s">
        <v>75</v>
      </c>
      <c r="G951" t="s">
        <v>63</v>
      </c>
      <c r="H951" t="s">
        <v>337</v>
      </c>
      <c r="I951" t="s">
        <v>27</v>
      </c>
      <c r="J951" t="s">
        <v>518</v>
      </c>
      <c r="K951">
        <v>2024</v>
      </c>
      <c r="L951">
        <v>0</v>
      </c>
      <c r="M951">
        <v>19</v>
      </c>
      <c r="N951" t="s">
        <v>29</v>
      </c>
      <c r="O951">
        <v>5</v>
      </c>
      <c r="P951">
        <v>1</v>
      </c>
      <c r="Q951" t="s">
        <v>30</v>
      </c>
      <c r="R951">
        <v>7</v>
      </c>
      <c r="S951">
        <v>24</v>
      </c>
      <c r="T951">
        <v>53713</v>
      </c>
      <c r="U951">
        <v>5800</v>
      </c>
      <c r="V951">
        <v>13.2</v>
      </c>
      <c r="W951" t="s">
        <v>31</v>
      </c>
    </row>
    <row r="952" spans="1:23" x14ac:dyDescent="0.3">
      <c r="A952" t="s">
        <v>1722</v>
      </c>
      <c r="B952" t="s">
        <v>2167</v>
      </c>
      <c r="C952">
        <v>38</v>
      </c>
      <c r="D952" t="s">
        <v>33</v>
      </c>
      <c r="E952" t="s">
        <v>56</v>
      </c>
      <c r="F952" t="s">
        <v>42</v>
      </c>
      <c r="G952" t="s">
        <v>25</v>
      </c>
      <c r="H952" t="s">
        <v>26</v>
      </c>
      <c r="I952" t="s">
        <v>27</v>
      </c>
      <c r="J952" t="s">
        <v>702</v>
      </c>
      <c r="K952">
        <v>2021</v>
      </c>
      <c r="L952">
        <v>3</v>
      </c>
      <c r="M952">
        <v>8</v>
      </c>
      <c r="N952" t="s">
        <v>29</v>
      </c>
      <c r="O952">
        <v>2</v>
      </c>
      <c r="P952">
        <v>4</v>
      </c>
      <c r="Q952" t="s">
        <v>30</v>
      </c>
      <c r="R952">
        <v>17</v>
      </c>
      <c r="S952">
        <v>60</v>
      </c>
      <c r="T952">
        <v>66941</v>
      </c>
      <c r="U952">
        <v>6500</v>
      </c>
      <c r="V952">
        <v>8.6999999999999993</v>
      </c>
      <c r="W952" t="s">
        <v>31</v>
      </c>
    </row>
    <row r="953" spans="1:23" x14ac:dyDescent="0.3">
      <c r="A953" t="s">
        <v>1723</v>
      </c>
      <c r="B953" t="s">
        <v>2139</v>
      </c>
      <c r="C953">
        <v>30</v>
      </c>
      <c r="D953" t="s">
        <v>41</v>
      </c>
      <c r="E953" t="s">
        <v>34</v>
      </c>
      <c r="F953" t="s">
        <v>75</v>
      </c>
      <c r="G953" t="s">
        <v>117</v>
      </c>
      <c r="H953" t="s">
        <v>198</v>
      </c>
      <c r="I953" t="s">
        <v>27</v>
      </c>
      <c r="J953" t="s">
        <v>1724</v>
      </c>
      <c r="K953">
        <v>2024</v>
      </c>
      <c r="L953">
        <v>0</v>
      </c>
      <c r="M953">
        <v>3</v>
      </c>
      <c r="N953" t="s">
        <v>98</v>
      </c>
      <c r="O953">
        <v>5</v>
      </c>
      <c r="P953">
        <v>1</v>
      </c>
      <c r="Q953" t="s">
        <v>31</v>
      </c>
      <c r="R953">
        <v>3</v>
      </c>
      <c r="S953">
        <v>65</v>
      </c>
      <c r="T953">
        <v>84174</v>
      </c>
      <c r="U953">
        <v>5700</v>
      </c>
      <c r="V953">
        <v>13</v>
      </c>
      <c r="W953" t="s">
        <v>31</v>
      </c>
    </row>
    <row r="954" spans="1:23" x14ac:dyDescent="0.3">
      <c r="A954" t="s">
        <v>1725</v>
      </c>
      <c r="B954" t="s">
        <v>1968</v>
      </c>
      <c r="C954">
        <v>42</v>
      </c>
      <c r="D954" t="s">
        <v>41</v>
      </c>
      <c r="E954" t="s">
        <v>34</v>
      </c>
      <c r="F954" t="s">
        <v>57</v>
      </c>
      <c r="G954" t="s">
        <v>117</v>
      </c>
      <c r="H954" t="s">
        <v>298</v>
      </c>
      <c r="I954" t="s">
        <v>65</v>
      </c>
      <c r="J954" t="s">
        <v>626</v>
      </c>
      <c r="K954">
        <v>2022</v>
      </c>
      <c r="L954">
        <v>2</v>
      </c>
      <c r="M954">
        <v>13</v>
      </c>
      <c r="N954" t="s">
        <v>29</v>
      </c>
      <c r="O954">
        <v>2</v>
      </c>
      <c r="P954">
        <v>2</v>
      </c>
      <c r="Q954" t="s">
        <v>31</v>
      </c>
      <c r="R954">
        <v>12</v>
      </c>
      <c r="S954">
        <v>17</v>
      </c>
      <c r="T954">
        <v>86404</v>
      </c>
      <c r="U954">
        <v>9900</v>
      </c>
      <c r="V954">
        <v>5</v>
      </c>
      <c r="W954" t="s">
        <v>31</v>
      </c>
    </row>
    <row r="955" spans="1:23" x14ac:dyDescent="0.3">
      <c r="A955" t="s">
        <v>1726</v>
      </c>
      <c r="B955" t="s">
        <v>1868</v>
      </c>
      <c r="C955">
        <v>24</v>
      </c>
      <c r="D955" t="s">
        <v>33</v>
      </c>
      <c r="E955" t="s">
        <v>71</v>
      </c>
      <c r="F955" t="s">
        <v>75</v>
      </c>
      <c r="G955" t="s">
        <v>52</v>
      </c>
      <c r="H955" t="s">
        <v>208</v>
      </c>
      <c r="I955" t="s">
        <v>79</v>
      </c>
      <c r="J955" t="s">
        <v>1379</v>
      </c>
      <c r="K955">
        <v>2024</v>
      </c>
      <c r="L955">
        <v>0</v>
      </c>
      <c r="M955">
        <v>2</v>
      </c>
      <c r="N955" t="s">
        <v>85</v>
      </c>
      <c r="O955">
        <v>3</v>
      </c>
      <c r="P955">
        <v>2</v>
      </c>
      <c r="Q955" t="s">
        <v>30</v>
      </c>
      <c r="R955">
        <v>3</v>
      </c>
      <c r="S955">
        <v>10</v>
      </c>
      <c r="T955">
        <v>52350</v>
      </c>
      <c r="U955">
        <v>10900</v>
      </c>
      <c r="V955">
        <v>7.1</v>
      </c>
      <c r="W955" t="s">
        <v>31</v>
      </c>
    </row>
    <row r="956" spans="1:23" x14ac:dyDescent="0.3">
      <c r="A956" t="s">
        <v>1727</v>
      </c>
      <c r="B956" t="s">
        <v>1854</v>
      </c>
      <c r="C956">
        <v>38</v>
      </c>
      <c r="D956" t="s">
        <v>33</v>
      </c>
      <c r="E956" t="s">
        <v>34</v>
      </c>
      <c r="F956" t="s">
        <v>51</v>
      </c>
      <c r="G956" t="s">
        <v>43</v>
      </c>
      <c r="H956" t="s">
        <v>48</v>
      </c>
      <c r="I956" t="s">
        <v>27</v>
      </c>
      <c r="J956" t="s">
        <v>1728</v>
      </c>
      <c r="K956">
        <v>2023</v>
      </c>
      <c r="L956">
        <v>1</v>
      </c>
      <c r="M956">
        <v>10</v>
      </c>
      <c r="N956" t="s">
        <v>98</v>
      </c>
      <c r="O956">
        <v>4</v>
      </c>
      <c r="P956">
        <v>2</v>
      </c>
      <c r="Q956" t="s">
        <v>31</v>
      </c>
      <c r="R956">
        <v>17</v>
      </c>
      <c r="S956">
        <v>47</v>
      </c>
      <c r="T956">
        <v>137449</v>
      </c>
      <c r="U956">
        <v>8800</v>
      </c>
      <c r="V956">
        <v>12</v>
      </c>
      <c r="W956" t="s">
        <v>31</v>
      </c>
    </row>
    <row r="957" spans="1:23" x14ac:dyDescent="0.3">
      <c r="A957" t="s">
        <v>1729</v>
      </c>
      <c r="B957" t="s">
        <v>1994</v>
      </c>
      <c r="C957">
        <v>40</v>
      </c>
      <c r="D957" t="s">
        <v>41</v>
      </c>
      <c r="E957" t="s">
        <v>61</v>
      </c>
      <c r="F957" t="s">
        <v>57</v>
      </c>
      <c r="G957" t="s">
        <v>52</v>
      </c>
      <c r="H957" t="s">
        <v>320</v>
      </c>
      <c r="I957" t="s">
        <v>79</v>
      </c>
      <c r="J957" t="s">
        <v>1389</v>
      </c>
      <c r="K957">
        <v>2023</v>
      </c>
      <c r="L957">
        <v>1</v>
      </c>
      <c r="M957">
        <v>17</v>
      </c>
      <c r="N957" t="s">
        <v>85</v>
      </c>
      <c r="O957">
        <v>3</v>
      </c>
      <c r="P957">
        <v>5</v>
      </c>
      <c r="Q957" t="s">
        <v>31</v>
      </c>
      <c r="R957">
        <v>17</v>
      </c>
      <c r="S957">
        <v>24</v>
      </c>
      <c r="T957">
        <v>48364</v>
      </c>
      <c r="U957">
        <v>8000</v>
      </c>
      <c r="V957">
        <v>11.9</v>
      </c>
      <c r="W957" t="s">
        <v>31</v>
      </c>
    </row>
    <row r="958" spans="1:23" x14ac:dyDescent="0.3">
      <c r="A958" t="s">
        <v>1730</v>
      </c>
      <c r="B958" t="s">
        <v>2220</v>
      </c>
      <c r="C958">
        <v>36</v>
      </c>
      <c r="D958" t="s">
        <v>33</v>
      </c>
      <c r="E958" t="s">
        <v>56</v>
      </c>
      <c r="F958" t="s">
        <v>42</v>
      </c>
      <c r="G958" t="s">
        <v>36</v>
      </c>
      <c r="H958" t="s">
        <v>89</v>
      </c>
      <c r="I958" t="s">
        <v>65</v>
      </c>
      <c r="J958" t="s">
        <v>1731</v>
      </c>
      <c r="K958">
        <v>2023</v>
      </c>
      <c r="L958">
        <v>1</v>
      </c>
      <c r="M958">
        <v>10</v>
      </c>
      <c r="N958" t="s">
        <v>98</v>
      </c>
      <c r="O958">
        <v>5</v>
      </c>
      <c r="P958">
        <v>1</v>
      </c>
      <c r="Q958" t="s">
        <v>31</v>
      </c>
      <c r="R958">
        <v>2</v>
      </c>
      <c r="S958">
        <v>23</v>
      </c>
      <c r="T958">
        <v>51480</v>
      </c>
      <c r="U958">
        <v>4000</v>
      </c>
      <c r="V958">
        <v>5.5</v>
      </c>
      <c r="W958" t="s">
        <v>31</v>
      </c>
    </row>
    <row r="959" spans="1:23" x14ac:dyDescent="0.3">
      <c r="A959" t="s">
        <v>1732</v>
      </c>
      <c r="B959" t="s">
        <v>2221</v>
      </c>
      <c r="C959">
        <v>41</v>
      </c>
      <c r="D959" t="s">
        <v>33</v>
      </c>
      <c r="E959" t="s">
        <v>61</v>
      </c>
      <c r="F959" t="s">
        <v>24</v>
      </c>
      <c r="G959" t="s">
        <v>82</v>
      </c>
      <c r="H959" t="s">
        <v>83</v>
      </c>
      <c r="I959" t="s">
        <v>27</v>
      </c>
      <c r="J959" t="s">
        <v>1733</v>
      </c>
      <c r="K959">
        <v>2023</v>
      </c>
      <c r="L959">
        <v>1</v>
      </c>
      <c r="M959">
        <v>18</v>
      </c>
      <c r="N959" t="s">
        <v>29</v>
      </c>
      <c r="O959">
        <v>1</v>
      </c>
      <c r="P959">
        <v>5</v>
      </c>
      <c r="Q959" t="s">
        <v>30</v>
      </c>
      <c r="R959">
        <v>21</v>
      </c>
      <c r="S959">
        <v>73</v>
      </c>
      <c r="T959">
        <v>82887</v>
      </c>
      <c r="U959">
        <v>11900</v>
      </c>
      <c r="V959">
        <v>8.9</v>
      </c>
      <c r="W959" t="s">
        <v>31</v>
      </c>
    </row>
    <row r="960" spans="1:23" x14ac:dyDescent="0.3">
      <c r="A960" t="s">
        <v>1734</v>
      </c>
      <c r="B960" t="s">
        <v>1960</v>
      </c>
      <c r="C960">
        <v>35</v>
      </c>
      <c r="D960" t="s">
        <v>33</v>
      </c>
      <c r="E960" t="s">
        <v>56</v>
      </c>
      <c r="F960" t="s">
        <v>24</v>
      </c>
      <c r="G960" t="s">
        <v>82</v>
      </c>
      <c r="H960" t="s">
        <v>83</v>
      </c>
      <c r="I960" t="s">
        <v>27</v>
      </c>
      <c r="J960" t="s">
        <v>1735</v>
      </c>
      <c r="K960">
        <v>2021</v>
      </c>
      <c r="L960">
        <v>3</v>
      </c>
      <c r="M960">
        <v>5</v>
      </c>
      <c r="N960" t="s">
        <v>29</v>
      </c>
      <c r="O960">
        <v>5</v>
      </c>
      <c r="P960">
        <v>1</v>
      </c>
      <c r="Q960" t="s">
        <v>31</v>
      </c>
      <c r="R960">
        <v>24</v>
      </c>
      <c r="S960">
        <v>59</v>
      </c>
      <c r="T960">
        <v>72719</v>
      </c>
      <c r="U960">
        <v>7800</v>
      </c>
      <c r="V960">
        <v>12.5</v>
      </c>
      <c r="W960" t="s">
        <v>30</v>
      </c>
    </row>
    <row r="961" spans="1:23" x14ac:dyDescent="0.3">
      <c r="A961" t="s">
        <v>1736</v>
      </c>
      <c r="B961" t="s">
        <v>2181</v>
      </c>
      <c r="C961">
        <v>35</v>
      </c>
      <c r="D961" t="s">
        <v>33</v>
      </c>
      <c r="E961" t="s">
        <v>71</v>
      </c>
      <c r="F961" t="s">
        <v>42</v>
      </c>
      <c r="G961" t="s">
        <v>25</v>
      </c>
      <c r="H961" t="s">
        <v>26</v>
      </c>
      <c r="I961" t="s">
        <v>27</v>
      </c>
      <c r="J961" t="s">
        <v>1737</v>
      </c>
      <c r="K961">
        <v>2022</v>
      </c>
      <c r="L961">
        <v>2</v>
      </c>
      <c r="M961">
        <v>13</v>
      </c>
      <c r="N961" t="s">
        <v>85</v>
      </c>
      <c r="O961">
        <v>5</v>
      </c>
      <c r="P961">
        <v>4</v>
      </c>
      <c r="Q961" t="s">
        <v>31</v>
      </c>
      <c r="R961">
        <v>9</v>
      </c>
      <c r="S961">
        <v>17</v>
      </c>
      <c r="T961">
        <v>62965</v>
      </c>
      <c r="U961">
        <v>11300</v>
      </c>
      <c r="V961">
        <v>10</v>
      </c>
      <c r="W961" t="s">
        <v>30</v>
      </c>
    </row>
    <row r="962" spans="1:23" x14ac:dyDescent="0.3">
      <c r="A962" t="s">
        <v>1738</v>
      </c>
      <c r="B962" t="s">
        <v>1993</v>
      </c>
      <c r="C962">
        <v>32</v>
      </c>
      <c r="D962" t="s">
        <v>41</v>
      </c>
      <c r="E962" t="s">
        <v>34</v>
      </c>
      <c r="F962" t="s">
        <v>35</v>
      </c>
      <c r="G962" t="s">
        <v>25</v>
      </c>
      <c r="H962" t="s">
        <v>58</v>
      </c>
      <c r="I962" t="s">
        <v>27</v>
      </c>
      <c r="J962" t="s">
        <v>958</v>
      </c>
      <c r="K962">
        <v>2024</v>
      </c>
      <c r="L962">
        <v>0</v>
      </c>
      <c r="M962">
        <v>2</v>
      </c>
      <c r="N962" t="s">
        <v>98</v>
      </c>
      <c r="O962">
        <v>4</v>
      </c>
      <c r="P962">
        <v>2</v>
      </c>
      <c r="Q962" t="s">
        <v>31</v>
      </c>
      <c r="R962">
        <v>12</v>
      </c>
      <c r="S962">
        <v>8</v>
      </c>
      <c r="T962">
        <v>90062</v>
      </c>
      <c r="U962">
        <v>7200</v>
      </c>
      <c r="V962">
        <v>11.6</v>
      </c>
      <c r="W962" t="s">
        <v>30</v>
      </c>
    </row>
    <row r="963" spans="1:23" x14ac:dyDescent="0.3">
      <c r="A963" t="s">
        <v>1739</v>
      </c>
      <c r="B963" t="s">
        <v>2176</v>
      </c>
      <c r="C963">
        <v>37</v>
      </c>
      <c r="D963" t="s">
        <v>33</v>
      </c>
      <c r="E963" t="s">
        <v>56</v>
      </c>
      <c r="F963" t="s">
        <v>24</v>
      </c>
      <c r="G963" t="s">
        <v>100</v>
      </c>
      <c r="H963" t="s">
        <v>101</v>
      </c>
      <c r="I963" t="s">
        <v>27</v>
      </c>
      <c r="J963" t="s">
        <v>477</v>
      </c>
      <c r="K963">
        <v>2024</v>
      </c>
      <c r="L963">
        <v>0</v>
      </c>
      <c r="M963">
        <v>13</v>
      </c>
      <c r="N963" t="s">
        <v>29</v>
      </c>
      <c r="O963">
        <v>5</v>
      </c>
      <c r="P963">
        <v>1</v>
      </c>
      <c r="Q963" t="s">
        <v>30</v>
      </c>
      <c r="R963">
        <v>22</v>
      </c>
      <c r="S963">
        <v>0</v>
      </c>
      <c r="T963">
        <v>45168</v>
      </c>
      <c r="U963">
        <v>5100</v>
      </c>
      <c r="V963">
        <v>11.6</v>
      </c>
      <c r="W963" t="s">
        <v>31</v>
      </c>
    </row>
    <row r="964" spans="1:23" x14ac:dyDescent="0.3">
      <c r="A964" t="s">
        <v>1740</v>
      </c>
      <c r="B964" t="s">
        <v>1871</v>
      </c>
      <c r="C964">
        <v>39</v>
      </c>
      <c r="D964" t="s">
        <v>33</v>
      </c>
      <c r="E964" t="s">
        <v>71</v>
      </c>
      <c r="F964" t="s">
        <v>35</v>
      </c>
      <c r="G964" t="s">
        <v>52</v>
      </c>
      <c r="H964" t="s">
        <v>208</v>
      </c>
      <c r="I964" t="s">
        <v>27</v>
      </c>
      <c r="J964" t="s">
        <v>518</v>
      </c>
      <c r="K964">
        <v>2024</v>
      </c>
      <c r="L964">
        <v>0</v>
      </c>
      <c r="M964">
        <v>10</v>
      </c>
      <c r="N964" t="s">
        <v>98</v>
      </c>
      <c r="O964">
        <v>1</v>
      </c>
      <c r="P964">
        <v>1</v>
      </c>
      <c r="Q964" t="s">
        <v>31</v>
      </c>
      <c r="R964">
        <v>12</v>
      </c>
      <c r="S964">
        <v>37</v>
      </c>
      <c r="T964">
        <v>50632</v>
      </c>
      <c r="U964">
        <v>4100</v>
      </c>
      <c r="V964">
        <v>12.8</v>
      </c>
      <c r="W964" t="s">
        <v>31</v>
      </c>
    </row>
    <row r="965" spans="1:23" x14ac:dyDescent="0.3">
      <c r="A965" t="s">
        <v>1741</v>
      </c>
      <c r="B965" t="s">
        <v>2150</v>
      </c>
      <c r="C965">
        <v>42</v>
      </c>
      <c r="D965" t="s">
        <v>41</v>
      </c>
      <c r="E965" t="s">
        <v>71</v>
      </c>
      <c r="F965" t="s">
        <v>153</v>
      </c>
      <c r="G965" t="s">
        <v>117</v>
      </c>
      <c r="H965" t="s">
        <v>198</v>
      </c>
      <c r="I965" t="s">
        <v>27</v>
      </c>
      <c r="J965" t="s">
        <v>1742</v>
      </c>
      <c r="K965">
        <v>2021</v>
      </c>
      <c r="L965">
        <v>3</v>
      </c>
      <c r="M965">
        <v>17</v>
      </c>
      <c r="N965" t="s">
        <v>29</v>
      </c>
      <c r="O965">
        <v>3</v>
      </c>
      <c r="P965">
        <v>2</v>
      </c>
      <c r="Q965" t="s">
        <v>31</v>
      </c>
      <c r="R965">
        <v>9</v>
      </c>
      <c r="S965">
        <v>22</v>
      </c>
      <c r="T965">
        <v>66908</v>
      </c>
      <c r="U965">
        <v>9200</v>
      </c>
      <c r="V965">
        <v>9.5</v>
      </c>
      <c r="W965" t="s">
        <v>31</v>
      </c>
    </row>
    <row r="966" spans="1:23" x14ac:dyDescent="0.3">
      <c r="A966" t="s">
        <v>1743</v>
      </c>
      <c r="B966" t="s">
        <v>1983</v>
      </c>
      <c r="C966">
        <v>37</v>
      </c>
      <c r="D966" t="s">
        <v>41</v>
      </c>
      <c r="E966" t="s">
        <v>34</v>
      </c>
      <c r="F966" t="s">
        <v>24</v>
      </c>
      <c r="G966" t="s">
        <v>36</v>
      </c>
      <c r="H966" t="s">
        <v>76</v>
      </c>
      <c r="I966" t="s">
        <v>27</v>
      </c>
      <c r="J966" t="s">
        <v>1744</v>
      </c>
      <c r="K966">
        <v>2021</v>
      </c>
      <c r="L966">
        <v>3</v>
      </c>
      <c r="M966">
        <v>14</v>
      </c>
      <c r="N966" t="s">
        <v>29</v>
      </c>
      <c r="O966">
        <v>3</v>
      </c>
      <c r="P966">
        <v>4</v>
      </c>
      <c r="Q966" t="s">
        <v>31</v>
      </c>
      <c r="R966">
        <v>8</v>
      </c>
      <c r="S966">
        <v>5</v>
      </c>
      <c r="T966">
        <v>51870</v>
      </c>
      <c r="U966">
        <v>6700</v>
      </c>
      <c r="V966">
        <v>14.5</v>
      </c>
      <c r="W966" t="s">
        <v>31</v>
      </c>
    </row>
    <row r="967" spans="1:23" x14ac:dyDescent="0.3">
      <c r="A967" t="s">
        <v>1745</v>
      </c>
      <c r="B967" t="s">
        <v>2222</v>
      </c>
      <c r="C967">
        <v>29</v>
      </c>
      <c r="D967" t="s">
        <v>22</v>
      </c>
      <c r="E967" t="s">
        <v>34</v>
      </c>
      <c r="F967" t="s">
        <v>47</v>
      </c>
      <c r="G967" t="s">
        <v>43</v>
      </c>
      <c r="H967" t="s">
        <v>96</v>
      </c>
      <c r="I967" t="s">
        <v>27</v>
      </c>
      <c r="J967" t="s">
        <v>448</v>
      </c>
      <c r="K967">
        <v>2021</v>
      </c>
      <c r="L967">
        <v>3</v>
      </c>
      <c r="M967">
        <v>7</v>
      </c>
      <c r="N967" t="s">
        <v>29</v>
      </c>
      <c r="O967">
        <v>4</v>
      </c>
      <c r="P967">
        <v>1</v>
      </c>
      <c r="Q967" t="s">
        <v>30</v>
      </c>
      <c r="R967">
        <v>16</v>
      </c>
      <c r="S967">
        <v>74</v>
      </c>
      <c r="T967">
        <v>133780</v>
      </c>
      <c r="U967">
        <v>15600</v>
      </c>
      <c r="V967">
        <v>14.2</v>
      </c>
      <c r="W967" t="s">
        <v>31</v>
      </c>
    </row>
    <row r="968" spans="1:23" x14ac:dyDescent="0.3">
      <c r="A968" t="s">
        <v>1746</v>
      </c>
      <c r="B968" t="s">
        <v>2223</v>
      </c>
      <c r="C968">
        <v>41</v>
      </c>
      <c r="D968" t="s">
        <v>33</v>
      </c>
      <c r="E968" t="s">
        <v>34</v>
      </c>
      <c r="F968" t="s">
        <v>137</v>
      </c>
      <c r="G968" t="s">
        <v>36</v>
      </c>
      <c r="H968" t="s">
        <v>37</v>
      </c>
      <c r="I968" t="s">
        <v>27</v>
      </c>
      <c r="J968" t="s">
        <v>1371</v>
      </c>
      <c r="K968">
        <v>2021</v>
      </c>
      <c r="L968">
        <v>3</v>
      </c>
      <c r="M968">
        <v>19</v>
      </c>
      <c r="N968" t="s">
        <v>29</v>
      </c>
      <c r="O968">
        <v>2</v>
      </c>
      <c r="P968">
        <v>5</v>
      </c>
      <c r="Q968" t="s">
        <v>31</v>
      </c>
      <c r="R968">
        <v>17</v>
      </c>
      <c r="S968">
        <v>35</v>
      </c>
      <c r="T968">
        <v>71354</v>
      </c>
      <c r="U968">
        <v>9400</v>
      </c>
      <c r="V968">
        <v>14</v>
      </c>
      <c r="W968" t="s">
        <v>31</v>
      </c>
    </row>
    <row r="969" spans="1:23" x14ac:dyDescent="0.3">
      <c r="A969" t="s">
        <v>1747</v>
      </c>
      <c r="B969" t="s">
        <v>1866</v>
      </c>
      <c r="C969">
        <v>35</v>
      </c>
      <c r="D969" t="s">
        <v>33</v>
      </c>
      <c r="E969" t="s">
        <v>71</v>
      </c>
      <c r="F969" t="s">
        <v>153</v>
      </c>
      <c r="G969" t="s">
        <v>63</v>
      </c>
      <c r="H969" t="s">
        <v>225</v>
      </c>
      <c r="I969" t="s">
        <v>79</v>
      </c>
      <c r="J969" t="s">
        <v>1748</v>
      </c>
      <c r="K969">
        <v>2023</v>
      </c>
      <c r="L969">
        <v>1</v>
      </c>
      <c r="M969">
        <v>8</v>
      </c>
      <c r="N969" t="s">
        <v>29</v>
      </c>
      <c r="O969">
        <v>5</v>
      </c>
      <c r="P969">
        <v>1</v>
      </c>
      <c r="Q969" t="s">
        <v>30</v>
      </c>
      <c r="R969">
        <v>3</v>
      </c>
      <c r="S969">
        <v>49</v>
      </c>
      <c r="T969">
        <v>64253</v>
      </c>
      <c r="U969">
        <v>8800</v>
      </c>
      <c r="V969">
        <v>4.5</v>
      </c>
      <c r="W969" t="s">
        <v>31</v>
      </c>
    </row>
    <row r="970" spans="1:23" x14ac:dyDescent="0.3">
      <c r="A970" t="s">
        <v>1749</v>
      </c>
      <c r="B970" t="s">
        <v>2214</v>
      </c>
      <c r="C970">
        <v>37</v>
      </c>
      <c r="D970" t="s">
        <v>33</v>
      </c>
      <c r="E970" t="s">
        <v>61</v>
      </c>
      <c r="F970" t="s">
        <v>42</v>
      </c>
      <c r="G970" t="s">
        <v>100</v>
      </c>
      <c r="H970" t="s">
        <v>101</v>
      </c>
      <c r="I970" t="s">
        <v>27</v>
      </c>
      <c r="J970" t="s">
        <v>77</v>
      </c>
      <c r="K970">
        <v>2021</v>
      </c>
      <c r="L970">
        <v>3</v>
      </c>
      <c r="M970">
        <v>7</v>
      </c>
      <c r="N970" t="s">
        <v>29</v>
      </c>
      <c r="O970">
        <v>2</v>
      </c>
      <c r="P970">
        <v>2</v>
      </c>
      <c r="Q970" t="s">
        <v>31</v>
      </c>
      <c r="R970">
        <v>12</v>
      </c>
      <c r="S970">
        <v>36</v>
      </c>
      <c r="T970">
        <v>44260</v>
      </c>
      <c r="U970">
        <v>4700</v>
      </c>
      <c r="V970">
        <v>8.6</v>
      </c>
      <c r="W970" t="s">
        <v>31</v>
      </c>
    </row>
    <row r="971" spans="1:23" x14ac:dyDescent="0.3">
      <c r="A971" t="s">
        <v>1750</v>
      </c>
      <c r="B971" t="s">
        <v>1893</v>
      </c>
      <c r="C971">
        <v>23</v>
      </c>
      <c r="D971" t="s">
        <v>41</v>
      </c>
      <c r="E971" t="s">
        <v>71</v>
      </c>
      <c r="F971" t="s">
        <v>42</v>
      </c>
      <c r="G971" t="s">
        <v>63</v>
      </c>
      <c r="H971" t="s">
        <v>225</v>
      </c>
      <c r="I971" t="s">
        <v>27</v>
      </c>
      <c r="J971" t="s">
        <v>557</v>
      </c>
      <c r="K971">
        <v>2021</v>
      </c>
      <c r="L971">
        <v>3</v>
      </c>
      <c r="M971">
        <v>1</v>
      </c>
      <c r="N971" t="s">
        <v>39</v>
      </c>
      <c r="O971">
        <v>2</v>
      </c>
      <c r="P971">
        <v>3</v>
      </c>
      <c r="Q971" t="s">
        <v>30</v>
      </c>
      <c r="R971">
        <v>8</v>
      </c>
      <c r="S971">
        <v>21</v>
      </c>
      <c r="T971">
        <v>38693</v>
      </c>
      <c r="U971">
        <v>1100</v>
      </c>
      <c r="V971">
        <v>9.1999999999999993</v>
      </c>
      <c r="W971" t="s">
        <v>31</v>
      </c>
    </row>
    <row r="972" spans="1:23" x14ac:dyDescent="0.3">
      <c r="A972" t="s">
        <v>1751</v>
      </c>
      <c r="B972" t="s">
        <v>1838</v>
      </c>
      <c r="C972">
        <v>42</v>
      </c>
      <c r="D972" t="s">
        <v>33</v>
      </c>
      <c r="E972" t="s">
        <v>71</v>
      </c>
      <c r="F972" t="s">
        <v>51</v>
      </c>
      <c r="G972" t="s">
        <v>43</v>
      </c>
      <c r="H972" t="s">
        <v>72</v>
      </c>
      <c r="I972" t="s">
        <v>27</v>
      </c>
      <c r="J972" t="s">
        <v>1752</v>
      </c>
      <c r="K972">
        <v>2022</v>
      </c>
      <c r="L972">
        <v>2</v>
      </c>
      <c r="M972">
        <v>20</v>
      </c>
      <c r="N972" t="s">
        <v>29</v>
      </c>
      <c r="O972">
        <v>3</v>
      </c>
      <c r="P972">
        <v>1</v>
      </c>
      <c r="Q972" t="s">
        <v>30</v>
      </c>
      <c r="R972">
        <v>18</v>
      </c>
      <c r="S972">
        <v>27</v>
      </c>
      <c r="T972">
        <v>116674</v>
      </c>
      <c r="U972">
        <v>12000</v>
      </c>
      <c r="V972">
        <v>6.2</v>
      </c>
      <c r="W972" t="s">
        <v>31</v>
      </c>
    </row>
    <row r="973" spans="1:23" x14ac:dyDescent="0.3">
      <c r="A973" t="s">
        <v>1753</v>
      </c>
      <c r="B973" t="s">
        <v>2224</v>
      </c>
      <c r="C973">
        <v>42</v>
      </c>
      <c r="D973" t="s">
        <v>41</v>
      </c>
      <c r="E973" t="s">
        <v>34</v>
      </c>
      <c r="F973" t="s">
        <v>42</v>
      </c>
      <c r="G973" t="s">
        <v>36</v>
      </c>
      <c r="H973" t="s">
        <v>37</v>
      </c>
      <c r="I973" t="s">
        <v>27</v>
      </c>
      <c r="J973" t="s">
        <v>1754</v>
      </c>
      <c r="K973">
        <v>2021</v>
      </c>
      <c r="L973">
        <v>3</v>
      </c>
      <c r="M973">
        <v>16</v>
      </c>
      <c r="N973" t="s">
        <v>39</v>
      </c>
      <c r="O973">
        <v>4</v>
      </c>
      <c r="P973">
        <v>3</v>
      </c>
      <c r="Q973" t="s">
        <v>31</v>
      </c>
      <c r="R973">
        <v>18</v>
      </c>
      <c r="S973">
        <v>52</v>
      </c>
      <c r="T973">
        <v>86568</v>
      </c>
      <c r="U973">
        <v>2200</v>
      </c>
      <c r="V973">
        <v>6.3</v>
      </c>
      <c r="W973" t="s">
        <v>30</v>
      </c>
    </row>
    <row r="974" spans="1:23" x14ac:dyDescent="0.3">
      <c r="A974" t="s">
        <v>1755</v>
      </c>
      <c r="B974" t="s">
        <v>2076</v>
      </c>
      <c r="C974">
        <v>29</v>
      </c>
      <c r="D974" t="s">
        <v>41</v>
      </c>
      <c r="E974" t="s">
        <v>34</v>
      </c>
      <c r="F974" t="s">
        <v>42</v>
      </c>
      <c r="G974" t="s">
        <v>52</v>
      </c>
      <c r="H974" t="s">
        <v>53</v>
      </c>
      <c r="I974" t="s">
        <v>79</v>
      </c>
      <c r="J974" t="s">
        <v>1756</v>
      </c>
      <c r="K974">
        <v>2024</v>
      </c>
      <c r="L974">
        <v>0</v>
      </c>
      <c r="M974">
        <v>5</v>
      </c>
      <c r="N974" t="s">
        <v>98</v>
      </c>
      <c r="O974">
        <v>1</v>
      </c>
      <c r="P974">
        <v>1</v>
      </c>
      <c r="Q974" t="s">
        <v>30</v>
      </c>
      <c r="R974">
        <v>6</v>
      </c>
      <c r="S974">
        <v>39</v>
      </c>
      <c r="T974">
        <v>62368</v>
      </c>
      <c r="U974">
        <v>4700</v>
      </c>
      <c r="V974">
        <v>11.1</v>
      </c>
      <c r="W974" t="s">
        <v>31</v>
      </c>
    </row>
    <row r="975" spans="1:23" x14ac:dyDescent="0.3">
      <c r="A975" t="s">
        <v>1757</v>
      </c>
      <c r="B975" t="s">
        <v>1959</v>
      </c>
      <c r="C975">
        <v>38</v>
      </c>
      <c r="D975" t="s">
        <v>33</v>
      </c>
      <c r="E975" t="s">
        <v>34</v>
      </c>
      <c r="F975" t="s">
        <v>137</v>
      </c>
      <c r="G975" t="s">
        <v>63</v>
      </c>
      <c r="H975" t="s">
        <v>225</v>
      </c>
      <c r="I975" t="s">
        <v>27</v>
      </c>
      <c r="J975" t="s">
        <v>1646</v>
      </c>
      <c r="K975">
        <v>2024</v>
      </c>
      <c r="L975">
        <v>0</v>
      </c>
      <c r="M975">
        <v>16</v>
      </c>
      <c r="N975" t="s">
        <v>29</v>
      </c>
      <c r="O975">
        <v>2</v>
      </c>
      <c r="P975">
        <v>4</v>
      </c>
      <c r="Q975" t="s">
        <v>31</v>
      </c>
      <c r="R975">
        <v>13</v>
      </c>
      <c r="S975">
        <v>17</v>
      </c>
      <c r="T975">
        <v>48086</v>
      </c>
      <c r="U975">
        <v>6100</v>
      </c>
      <c r="V975">
        <v>3.7</v>
      </c>
      <c r="W975" t="s">
        <v>31</v>
      </c>
    </row>
    <row r="976" spans="1:23" x14ac:dyDescent="0.3">
      <c r="A976" t="s">
        <v>1758</v>
      </c>
      <c r="B976" t="s">
        <v>2102</v>
      </c>
      <c r="C976">
        <v>44</v>
      </c>
      <c r="D976" t="s">
        <v>33</v>
      </c>
      <c r="E976" t="s">
        <v>71</v>
      </c>
      <c r="F976" t="s">
        <v>137</v>
      </c>
      <c r="G976" t="s">
        <v>43</v>
      </c>
      <c r="H976" t="s">
        <v>72</v>
      </c>
      <c r="I976" t="s">
        <v>27</v>
      </c>
      <c r="J976" t="s">
        <v>1173</v>
      </c>
      <c r="K976">
        <v>2021</v>
      </c>
      <c r="L976">
        <v>3</v>
      </c>
      <c r="M976">
        <v>15</v>
      </c>
      <c r="N976" t="s">
        <v>85</v>
      </c>
      <c r="O976">
        <v>4</v>
      </c>
      <c r="P976">
        <v>2</v>
      </c>
      <c r="Q976" t="s">
        <v>31</v>
      </c>
      <c r="R976">
        <v>19</v>
      </c>
      <c r="S976">
        <v>59</v>
      </c>
      <c r="T976">
        <v>73935</v>
      </c>
      <c r="U976">
        <v>14800</v>
      </c>
      <c r="V976">
        <v>4.5999999999999996</v>
      </c>
      <c r="W976" t="s">
        <v>31</v>
      </c>
    </row>
    <row r="977" spans="1:23" x14ac:dyDescent="0.3">
      <c r="A977" t="s">
        <v>1759</v>
      </c>
      <c r="B977" t="s">
        <v>2151</v>
      </c>
      <c r="C977">
        <v>26</v>
      </c>
      <c r="D977" t="s">
        <v>41</v>
      </c>
      <c r="E977" t="s">
        <v>34</v>
      </c>
      <c r="F977" t="s">
        <v>35</v>
      </c>
      <c r="G977" t="s">
        <v>43</v>
      </c>
      <c r="H977" t="s">
        <v>72</v>
      </c>
      <c r="I977" t="s">
        <v>27</v>
      </c>
      <c r="J977" t="s">
        <v>1712</v>
      </c>
      <c r="K977">
        <v>2024</v>
      </c>
      <c r="L977">
        <v>0</v>
      </c>
      <c r="M977">
        <v>3</v>
      </c>
      <c r="N977" t="s">
        <v>29</v>
      </c>
      <c r="O977">
        <v>1</v>
      </c>
      <c r="P977">
        <v>3</v>
      </c>
      <c r="Q977" t="s">
        <v>31</v>
      </c>
      <c r="R977">
        <v>10</v>
      </c>
      <c r="S977">
        <v>35</v>
      </c>
      <c r="T977">
        <v>119895</v>
      </c>
      <c r="U977">
        <v>15800</v>
      </c>
      <c r="V977">
        <v>8.6999999999999993</v>
      </c>
      <c r="W977" t="s">
        <v>30</v>
      </c>
    </row>
    <row r="978" spans="1:23" x14ac:dyDescent="0.3">
      <c r="A978" t="s">
        <v>1760</v>
      </c>
      <c r="B978" t="s">
        <v>2225</v>
      </c>
      <c r="C978">
        <v>32</v>
      </c>
      <c r="D978" t="s">
        <v>33</v>
      </c>
      <c r="E978" t="s">
        <v>61</v>
      </c>
      <c r="F978" t="s">
        <v>47</v>
      </c>
      <c r="G978" t="s">
        <v>36</v>
      </c>
      <c r="H978" t="s">
        <v>89</v>
      </c>
      <c r="I978" t="s">
        <v>27</v>
      </c>
      <c r="J978" t="s">
        <v>1231</v>
      </c>
      <c r="K978">
        <v>2022</v>
      </c>
      <c r="L978">
        <v>2</v>
      </c>
      <c r="M978">
        <v>3</v>
      </c>
      <c r="N978" t="s">
        <v>29</v>
      </c>
      <c r="O978">
        <v>2</v>
      </c>
      <c r="P978">
        <v>2</v>
      </c>
      <c r="Q978" t="s">
        <v>31</v>
      </c>
      <c r="R978">
        <v>11</v>
      </c>
      <c r="S978">
        <v>18</v>
      </c>
      <c r="T978">
        <v>74804</v>
      </c>
      <c r="U978">
        <v>8100</v>
      </c>
      <c r="V978">
        <v>3.6</v>
      </c>
      <c r="W978" t="s">
        <v>31</v>
      </c>
    </row>
    <row r="979" spans="1:23" x14ac:dyDescent="0.3">
      <c r="A979" t="s">
        <v>1761</v>
      </c>
      <c r="B979" t="s">
        <v>1972</v>
      </c>
      <c r="C979">
        <v>45</v>
      </c>
      <c r="D979" t="s">
        <v>33</v>
      </c>
      <c r="E979" t="s">
        <v>61</v>
      </c>
      <c r="F979" t="s">
        <v>51</v>
      </c>
      <c r="G979" t="s">
        <v>117</v>
      </c>
      <c r="H979" t="s">
        <v>298</v>
      </c>
      <c r="I979" t="s">
        <v>27</v>
      </c>
      <c r="J979" t="s">
        <v>151</v>
      </c>
      <c r="K979">
        <v>2023</v>
      </c>
      <c r="L979">
        <v>1</v>
      </c>
      <c r="M979">
        <v>19</v>
      </c>
      <c r="N979" t="s">
        <v>39</v>
      </c>
      <c r="O979">
        <v>4</v>
      </c>
      <c r="P979">
        <v>2</v>
      </c>
      <c r="Q979" t="s">
        <v>30</v>
      </c>
      <c r="R979">
        <v>12</v>
      </c>
      <c r="S979">
        <v>78</v>
      </c>
      <c r="T979">
        <v>64300</v>
      </c>
      <c r="U979">
        <v>2200</v>
      </c>
      <c r="V979">
        <v>11</v>
      </c>
      <c r="W979" t="s">
        <v>30</v>
      </c>
    </row>
    <row r="980" spans="1:23" x14ac:dyDescent="0.3">
      <c r="A980" t="s">
        <v>1762</v>
      </c>
      <c r="B980" t="s">
        <v>2208</v>
      </c>
      <c r="C980">
        <v>32</v>
      </c>
      <c r="D980" t="s">
        <v>41</v>
      </c>
      <c r="E980" t="s">
        <v>71</v>
      </c>
      <c r="F980" t="s">
        <v>35</v>
      </c>
      <c r="G980" t="s">
        <v>43</v>
      </c>
      <c r="H980" t="s">
        <v>72</v>
      </c>
      <c r="I980" t="s">
        <v>27</v>
      </c>
      <c r="J980" t="s">
        <v>1763</v>
      </c>
      <c r="K980">
        <v>2023</v>
      </c>
      <c r="L980">
        <v>1</v>
      </c>
      <c r="M980">
        <v>8</v>
      </c>
      <c r="N980" t="s">
        <v>98</v>
      </c>
      <c r="O980">
        <v>3</v>
      </c>
      <c r="P980">
        <v>3</v>
      </c>
      <c r="Q980" t="s">
        <v>31</v>
      </c>
      <c r="R980">
        <v>18</v>
      </c>
      <c r="S980">
        <v>69</v>
      </c>
      <c r="T980">
        <v>80341</v>
      </c>
      <c r="U980">
        <v>5900</v>
      </c>
      <c r="V980">
        <v>6.6</v>
      </c>
      <c r="W980" t="s">
        <v>31</v>
      </c>
    </row>
    <row r="981" spans="1:23" x14ac:dyDescent="0.3">
      <c r="A981" t="s">
        <v>1764</v>
      </c>
      <c r="B981" t="s">
        <v>1944</v>
      </c>
      <c r="C981">
        <v>31</v>
      </c>
      <c r="D981" t="s">
        <v>41</v>
      </c>
      <c r="E981" t="s">
        <v>23</v>
      </c>
      <c r="F981" t="s">
        <v>47</v>
      </c>
      <c r="G981" t="s">
        <v>82</v>
      </c>
      <c r="H981" t="s">
        <v>138</v>
      </c>
      <c r="I981" t="s">
        <v>27</v>
      </c>
      <c r="J981" t="s">
        <v>1369</v>
      </c>
      <c r="K981">
        <v>2021</v>
      </c>
      <c r="L981">
        <v>3</v>
      </c>
      <c r="M981">
        <v>4</v>
      </c>
      <c r="N981" t="s">
        <v>29</v>
      </c>
      <c r="O981">
        <v>5</v>
      </c>
      <c r="P981">
        <v>4</v>
      </c>
      <c r="Q981" t="s">
        <v>31</v>
      </c>
      <c r="R981">
        <v>8</v>
      </c>
      <c r="S981">
        <v>61</v>
      </c>
      <c r="T981">
        <v>80194</v>
      </c>
      <c r="U981">
        <v>10900</v>
      </c>
      <c r="V981">
        <v>5</v>
      </c>
      <c r="W981" t="s">
        <v>31</v>
      </c>
    </row>
    <row r="982" spans="1:23" x14ac:dyDescent="0.3">
      <c r="A982" t="s">
        <v>1765</v>
      </c>
      <c r="B982" t="s">
        <v>1921</v>
      </c>
      <c r="C982">
        <v>43</v>
      </c>
      <c r="D982" t="s">
        <v>33</v>
      </c>
      <c r="E982" t="s">
        <v>23</v>
      </c>
      <c r="F982" t="s">
        <v>51</v>
      </c>
      <c r="G982" t="s">
        <v>36</v>
      </c>
      <c r="H982" t="s">
        <v>89</v>
      </c>
      <c r="I982" t="s">
        <v>79</v>
      </c>
      <c r="J982" t="s">
        <v>527</v>
      </c>
      <c r="K982">
        <v>2024</v>
      </c>
      <c r="L982">
        <v>0</v>
      </c>
      <c r="M982">
        <v>15</v>
      </c>
      <c r="N982" t="s">
        <v>29</v>
      </c>
      <c r="O982">
        <v>5</v>
      </c>
      <c r="P982">
        <v>1</v>
      </c>
      <c r="Q982" t="s">
        <v>31</v>
      </c>
      <c r="R982">
        <v>18</v>
      </c>
      <c r="S982">
        <v>14</v>
      </c>
      <c r="T982">
        <v>45633</v>
      </c>
      <c r="U982">
        <v>5000</v>
      </c>
      <c r="V982">
        <v>8.5</v>
      </c>
      <c r="W982" t="s">
        <v>30</v>
      </c>
    </row>
    <row r="983" spans="1:23" x14ac:dyDescent="0.3">
      <c r="A983" t="s">
        <v>1766</v>
      </c>
      <c r="B983" t="s">
        <v>1850</v>
      </c>
      <c r="C983">
        <v>32</v>
      </c>
      <c r="D983" t="s">
        <v>41</v>
      </c>
      <c r="E983" t="s">
        <v>34</v>
      </c>
      <c r="F983" t="s">
        <v>75</v>
      </c>
      <c r="G983" t="s">
        <v>63</v>
      </c>
      <c r="H983" t="s">
        <v>310</v>
      </c>
      <c r="I983" t="s">
        <v>27</v>
      </c>
      <c r="J983" t="s">
        <v>1767</v>
      </c>
      <c r="K983">
        <v>2022</v>
      </c>
      <c r="L983">
        <v>2</v>
      </c>
      <c r="M983">
        <v>10</v>
      </c>
      <c r="N983" t="s">
        <v>98</v>
      </c>
      <c r="O983">
        <v>2</v>
      </c>
      <c r="P983">
        <v>2</v>
      </c>
      <c r="Q983" t="s">
        <v>31</v>
      </c>
      <c r="R983">
        <v>10</v>
      </c>
      <c r="S983">
        <v>29</v>
      </c>
      <c r="T983">
        <v>53719</v>
      </c>
      <c r="U983">
        <v>4200</v>
      </c>
      <c r="V983">
        <v>14.2</v>
      </c>
      <c r="W983" t="s">
        <v>31</v>
      </c>
    </row>
    <row r="984" spans="1:23" x14ac:dyDescent="0.3">
      <c r="A984" t="s">
        <v>1768</v>
      </c>
      <c r="B984" t="s">
        <v>1951</v>
      </c>
      <c r="C984">
        <v>41</v>
      </c>
      <c r="D984" t="s">
        <v>33</v>
      </c>
      <c r="E984" t="s">
        <v>34</v>
      </c>
      <c r="F984" t="s">
        <v>137</v>
      </c>
      <c r="G984" t="s">
        <v>36</v>
      </c>
      <c r="H984" t="s">
        <v>68</v>
      </c>
      <c r="I984" t="s">
        <v>27</v>
      </c>
      <c r="J984" t="s">
        <v>1769</v>
      </c>
      <c r="K984">
        <v>2023</v>
      </c>
      <c r="L984">
        <v>1</v>
      </c>
      <c r="M984">
        <v>17</v>
      </c>
      <c r="N984" t="s">
        <v>39</v>
      </c>
      <c r="O984">
        <v>2</v>
      </c>
      <c r="P984">
        <v>2</v>
      </c>
      <c r="Q984" t="s">
        <v>31</v>
      </c>
      <c r="R984">
        <v>23</v>
      </c>
      <c r="S984">
        <v>62</v>
      </c>
      <c r="T984">
        <v>82623</v>
      </c>
      <c r="U984">
        <v>2400</v>
      </c>
      <c r="V984">
        <v>6.3</v>
      </c>
      <c r="W984" t="s">
        <v>30</v>
      </c>
    </row>
    <row r="985" spans="1:23" x14ac:dyDescent="0.3">
      <c r="A985" t="s">
        <v>1770</v>
      </c>
      <c r="B985" t="s">
        <v>2063</v>
      </c>
      <c r="C985">
        <v>29</v>
      </c>
      <c r="D985" t="s">
        <v>33</v>
      </c>
      <c r="E985" t="s">
        <v>34</v>
      </c>
      <c r="F985" t="s">
        <v>51</v>
      </c>
      <c r="G985" t="s">
        <v>82</v>
      </c>
      <c r="H985" t="s">
        <v>83</v>
      </c>
      <c r="I985" t="s">
        <v>27</v>
      </c>
      <c r="J985" t="s">
        <v>1771</v>
      </c>
      <c r="K985">
        <v>2023</v>
      </c>
      <c r="L985">
        <v>1</v>
      </c>
      <c r="M985">
        <v>7</v>
      </c>
      <c r="N985" t="s">
        <v>29</v>
      </c>
      <c r="O985">
        <v>1</v>
      </c>
      <c r="P985">
        <v>5</v>
      </c>
      <c r="Q985" t="s">
        <v>31</v>
      </c>
      <c r="R985">
        <v>0</v>
      </c>
      <c r="S985">
        <v>0</v>
      </c>
      <c r="T985">
        <v>46191</v>
      </c>
      <c r="U985">
        <v>5300</v>
      </c>
      <c r="V985">
        <v>12.5</v>
      </c>
      <c r="W985" t="s">
        <v>31</v>
      </c>
    </row>
    <row r="986" spans="1:23" x14ac:dyDescent="0.3">
      <c r="A986" t="s">
        <v>1772</v>
      </c>
      <c r="B986" t="s">
        <v>1943</v>
      </c>
      <c r="C986">
        <v>31</v>
      </c>
      <c r="D986" t="s">
        <v>41</v>
      </c>
      <c r="E986" t="s">
        <v>71</v>
      </c>
      <c r="F986" t="s">
        <v>62</v>
      </c>
      <c r="G986" t="s">
        <v>25</v>
      </c>
      <c r="H986" t="s">
        <v>26</v>
      </c>
      <c r="I986" t="s">
        <v>27</v>
      </c>
      <c r="J986" t="s">
        <v>849</v>
      </c>
      <c r="K986">
        <v>2021</v>
      </c>
      <c r="L986">
        <v>3</v>
      </c>
      <c r="M986">
        <v>3</v>
      </c>
      <c r="N986" t="s">
        <v>29</v>
      </c>
      <c r="O986">
        <v>5</v>
      </c>
      <c r="P986">
        <v>4</v>
      </c>
      <c r="Q986" t="s">
        <v>31</v>
      </c>
      <c r="R986">
        <v>23</v>
      </c>
      <c r="S986">
        <v>79</v>
      </c>
      <c r="T986">
        <v>103587</v>
      </c>
      <c r="U986">
        <v>14000</v>
      </c>
      <c r="V986">
        <v>4.7</v>
      </c>
      <c r="W986" t="s">
        <v>31</v>
      </c>
    </row>
    <row r="987" spans="1:23" x14ac:dyDescent="0.3">
      <c r="A987" t="s">
        <v>1773</v>
      </c>
      <c r="B987" t="s">
        <v>2059</v>
      </c>
      <c r="C987">
        <v>33</v>
      </c>
      <c r="D987" t="s">
        <v>41</v>
      </c>
      <c r="E987" t="s">
        <v>34</v>
      </c>
      <c r="F987" t="s">
        <v>62</v>
      </c>
      <c r="G987" t="s">
        <v>52</v>
      </c>
      <c r="H987" t="s">
        <v>132</v>
      </c>
      <c r="I987" t="s">
        <v>27</v>
      </c>
      <c r="J987" t="s">
        <v>1241</v>
      </c>
      <c r="K987">
        <v>2023</v>
      </c>
      <c r="L987">
        <v>1</v>
      </c>
      <c r="M987">
        <v>3</v>
      </c>
      <c r="N987" t="s">
        <v>29</v>
      </c>
      <c r="O987">
        <v>2</v>
      </c>
      <c r="P987">
        <v>2</v>
      </c>
      <c r="Q987" t="s">
        <v>31</v>
      </c>
      <c r="R987">
        <v>13</v>
      </c>
      <c r="S987">
        <v>15</v>
      </c>
      <c r="T987">
        <v>61909</v>
      </c>
      <c r="U987">
        <v>6100</v>
      </c>
      <c r="V987">
        <v>3.3</v>
      </c>
      <c r="W987" t="s">
        <v>31</v>
      </c>
    </row>
    <row r="988" spans="1:23" x14ac:dyDescent="0.3">
      <c r="A988" t="s">
        <v>1774</v>
      </c>
      <c r="B988" t="s">
        <v>1858</v>
      </c>
      <c r="C988">
        <v>30</v>
      </c>
      <c r="D988" t="s">
        <v>33</v>
      </c>
      <c r="E988" t="s">
        <v>34</v>
      </c>
      <c r="F988" t="s">
        <v>47</v>
      </c>
      <c r="G988" t="s">
        <v>117</v>
      </c>
      <c r="H988" t="s">
        <v>298</v>
      </c>
      <c r="I988" t="s">
        <v>27</v>
      </c>
      <c r="J988" t="s">
        <v>1775</v>
      </c>
      <c r="K988">
        <v>2021</v>
      </c>
      <c r="L988">
        <v>3</v>
      </c>
      <c r="M988">
        <v>3</v>
      </c>
      <c r="N988" t="s">
        <v>29</v>
      </c>
      <c r="O988">
        <v>1</v>
      </c>
      <c r="P988">
        <v>2</v>
      </c>
      <c r="Q988" t="s">
        <v>31</v>
      </c>
      <c r="R988">
        <v>20</v>
      </c>
      <c r="S988">
        <v>33</v>
      </c>
      <c r="T988">
        <v>94592</v>
      </c>
      <c r="U988">
        <v>10800</v>
      </c>
      <c r="V988">
        <v>6.1</v>
      </c>
      <c r="W988" t="s">
        <v>31</v>
      </c>
    </row>
    <row r="989" spans="1:23" x14ac:dyDescent="0.3">
      <c r="A989" t="s">
        <v>1776</v>
      </c>
      <c r="B989" t="s">
        <v>1814</v>
      </c>
      <c r="C989">
        <v>36</v>
      </c>
      <c r="D989" t="s">
        <v>41</v>
      </c>
      <c r="E989" t="s">
        <v>34</v>
      </c>
      <c r="F989" t="s">
        <v>153</v>
      </c>
      <c r="G989" t="s">
        <v>43</v>
      </c>
      <c r="H989" t="s">
        <v>72</v>
      </c>
      <c r="I989" t="s">
        <v>27</v>
      </c>
      <c r="J989" t="s">
        <v>1777</v>
      </c>
      <c r="K989">
        <v>2022</v>
      </c>
      <c r="L989">
        <v>2</v>
      </c>
      <c r="M989">
        <v>14</v>
      </c>
      <c r="N989" t="s">
        <v>39</v>
      </c>
      <c r="O989">
        <v>1</v>
      </c>
      <c r="P989">
        <v>1</v>
      </c>
      <c r="Q989" t="s">
        <v>31</v>
      </c>
      <c r="R989">
        <v>1</v>
      </c>
      <c r="S989">
        <v>70</v>
      </c>
      <c r="T989">
        <v>119160</v>
      </c>
      <c r="U989">
        <v>3700</v>
      </c>
      <c r="V989">
        <v>6</v>
      </c>
      <c r="W989" t="s">
        <v>31</v>
      </c>
    </row>
    <row r="990" spans="1:23" x14ac:dyDescent="0.3">
      <c r="A990" t="s">
        <v>1778</v>
      </c>
      <c r="B990" t="s">
        <v>1813</v>
      </c>
      <c r="C990">
        <v>41</v>
      </c>
      <c r="D990" t="s">
        <v>41</v>
      </c>
      <c r="E990" t="s">
        <v>71</v>
      </c>
      <c r="F990" t="s">
        <v>35</v>
      </c>
      <c r="G990" t="s">
        <v>52</v>
      </c>
      <c r="H990" t="s">
        <v>53</v>
      </c>
      <c r="I990" t="s">
        <v>65</v>
      </c>
      <c r="J990" t="s">
        <v>1395</v>
      </c>
      <c r="K990">
        <v>2021</v>
      </c>
      <c r="L990">
        <v>3</v>
      </c>
      <c r="M990">
        <v>18</v>
      </c>
      <c r="N990" t="s">
        <v>39</v>
      </c>
      <c r="O990">
        <v>4</v>
      </c>
      <c r="P990">
        <v>2</v>
      </c>
      <c r="Q990" t="s">
        <v>31</v>
      </c>
      <c r="R990">
        <v>1</v>
      </c>
      <c r="S990">
        <v>67</v>
      </c>
      <c r="T990">
        <v>54975</v>
      </c>
      <c r="U990">
        <v>1700</v>
      </c>
      <c r="V990">
        <v>9.1999999999999993</v>
      </c>
      <c r="W990" t="s">
        <v>31</v>
      </c>
    </row>
    <row r="991" spans="1:23" x14ac:dyDescent="0.3">
      <c r="A991" t="s">
        <v>1779</v>
      </c>
      <c r="B991" t="s">
        <v>1898</v>
      </c>
      <c r="C991">
        <v>34</v>
      </c>
      <c r="D991" t="s">
        <v>41</v>
      </c>
      <c r="E991" t="s">
        <v>34</v>
      </c>
      <c r="F991" t="s">
        <v>51</v>
      </c>
      <c r="G991" t="s">
        <v>36</v>
      </c>
      <c r="H991" t="s">
        <v>68</v>
      </c>
      <c r="I991" t="s">
        <v>27</v>
      </c>
      <c r="J991" t="s">
        <v>1780</v>
      </c>
      <c r="K991">
        <v>2023</v>
      </c>
      <c r="L991">
        <v>1</v>
      </c>
      <c r="M991">
        <v>5</v>
      </c>
      <c r="N991" t="s">
        <v>29</v>
      </c>
      <c r="O991">
        <v>3</v>
      </c>
      <c r="P991">
        <v>1</v>
      </c>
      <c r="Q991" t="s">
        <v>30</v>
      </c>
      <c r="R991">
        <v>5</v>
      </c>
      <c r="S991">
        <v>79</v>
      </c>
      <c r="T991">
        <v>68495</v>
      </c>
      <c r="U991">
        <v>7200</v>
      </c>
      <c r="V991">
        <v>6.7</v>
      </c>
      <c r="W991" t="s">
        <v>31</v>
      </c>
    </row>
    <row r="992" spans="1:23" x14ac:dyDescent="0.3">
      <c r="A992" t="s">
        <v>1781</v>
      </c>
      <c r="B992" t="s">
        <v>2226</v>
      </c>
      <c r="C992">
        <v>32</v>
      </c>
      <c r="D992" t="s">
        <v>22</v>
      </c>
      <c r="E992" t="s">
        <v>56</v>
      </c>
      <c r="F992" t="s">
        <v>153</v>
      </c>
      <c r="G992" t="s">
        <v>43</v>
      </c>
      <c r="H992" t="s">
        <v>72</v>
      </c>
      <c r="I992" t="s">
        <v>27</v>
      </c>
      <c r="J992" t="s">
        <v>1782</v>
      </c>
      <c r="K992">
        <v>2023</v>
      </c>
      <c r="L992">
        <v>1</v>
      </c>
      <c r="M992">
        <v>4</v>
      </c>
      <c r="N992" t="s">
        <v>98</v>
      </c>
      <c r="O992">
        <v>1</v>
      </c>
      <c r="P992">
        <v>1</v>
      </c>
      <c r="Q992" t="s">
        <v>31</v>
      </c>
      <c r="R992">
        <v>14</v>
      </c>
      <c r="S992">
        <v>77</v>
      </c>
      <c r="T992">
        <v>93159</v>
      </c>
      <c r="U992">
        <v>7800</v>
      </c>
      <c r="V992">
        <v>7.2</v>
      </c>
      <c r="W992" t="s">
        <v>30</v>
      </c>
    </row>
    <row r="993" spans="1:23" x14ac:dyDescent="0.3">
      <c r="A993" t="s">
        <v>1783</v>
      </c>
      <c r="B993" t="s">
        <v>2070</v>
      </c>
      <c r="C993">
        <v>27</v>
      </c>
      <c r="D993" t="s">
        <v>41</v>
      </c>
      <c r="E993" t="s">
        <v>71</v>
      </c>
      <c r="F993" t="s">
        <v>75</v>
      </c>
      <c r="G993" t="s">
        <v>36</v>
      </c>
      <c r="H993" t="s">
        <v>37</v>
      </c>
      <c r="I993" t="s">
        <v>65</v>
      </c>
      <c r="J993" t="s">
        <v>555</v>
      </c>
      <c r="K993">
        <v>2024</v>
      </c>
      <c r="L993">
        <v>0</v>
      </c>
      <c r="M993">
        <v>3</v>
      </c>
      <c r="N993" t="s">
        <v>85</v>
      </c>
      <c r="O993">
        <v>2</v>
      </c>
      <c r="P993">
        <v>5</v>
      </c>
      <c r="Q993" t="s">
        <v>31</v>
      </c>
      <c r="R993">
        <v>23</v>
      </c>
      <c r="S993">
        <v>80</v>
      </c>
      <c r="T993">
        <v>79234</v>
      </c>
      <c r="U993">
        <v>13200</v>
      </c>
      <c r="V993">
        <v>4.0999999999999996</v>
      </c>
      <c r="W993" t="s">
        <v>31</v>
      </c>
    </row>
    <row r="994" spans="1:23" x14ac:dyDescent="0.3">
      <c r="A994" t="s">
        <v>1784</v>
      </c>
      <c r="B994" t="s">
        <v>2227</v>
      </c>
      <c r="C994">
        <v>45</v>
      </c>
      <c r="D994" t="s">
        <v>41</v>
      </c>
      <c r="E994" t="s">
        <v>34</v>
      </c>
      <c r="F994" t="s">
        <v>47</v>
      </c>
      <c r="G994" t="s">
        <v>82</v>
      </c>
      <c r="H994" t="s">
        <v>323</v>
      </c>
      <c r="I994" t="s">
        <v>27</v>
      </c>
      <c r="J994" t="s">
        <v>1375</v>
      </c>
      <c r="K994">
        <v>2021</v>
      </c>
      <c r="L994">
        <v>3</v>
      </c>
      <c r="M994">
        <v>18</v>
      </c>
      <c r="N994" t="s">
        <v>29</v>
      </c>
      <c r="O994">
        <v>1</v>
      </c>
      <c r="P994">
        <v>3</v>
      </c>
      <c r="Q994" t="s">
        <v>31</v>
      </c>
      <c r="R994">
        <v>20</v>
      </c>
      <c r="S994">
        <v>22</v>
      </c>
      <c r="T994">
        <v>73140</v>
      </c>
      <c r="U994">
        <v>8200</v>
      </c>
      <c r="V994">
        <v>14.5</v>
      </c>
      <c r="W994" t="s">
        <v>31</v>
      </c>
    </row>
    <row r="995" spans="1:23" x14ac:dyDescent="0.3">
      <c r="A995" t="s">
        <v>1785</v>
      </c>
      <c r="B995" t="s">
        <v>2228</v>
      </c>
      <c r="C995">
        <v>24</v>
      </c>
      <c r="D995" t="s">
        <v>22</v>
      </c>
      <c r="E995" t="s">
        <v>71</v>
      </c>
      <c r="F995" t="s">
        <v>47</v>
      </c>
      <c r="G995" t="s">
        <v>43</v>
      </c>
      <c r="H995" t="s">
        <v>44</v>
      </c>
      <c r="I995" t="s">
        <v>27</v>
      </c>
      <c r="J995" t="s">
        <v>1603</v>
      </c>
      <c r="K995">
        <v>2023</v>
      </c>
      <c r="L995">
        <v>1</v>
      </c>
      <c r="M995">
        <v>1</v>
      </c>
      <c r="N995" t="s">
        <v>29</v>
      </c>
      <c r="O995">
        <v>2</v>
      </c>
      <c r="P995">
        <v>3</v>
      </c>
      <c r="Q995" t="s">
        <v>31</v>
      </c>
      <c r="R995">
        <v>7</v>
      </c>
      <c r="S995">
        <v>44</v>
      </c>
      <c r="T995">
        <v>113633</v>
      </c>
      <c r="U995">
        <v>12900</v>
      </c>
      <c r="V995">
        <v>11.6</v>
      </c>
      <c r="W995" t="s">
        <v>31</v>
      </c>
    </row>
    <row r="996" spans="1:23" x14ac:dyDescent="0.3">
      <c r="A996" t="s">
        <v>1786</v>
      </c>
      <c r="B996" t="s">
        <v>1809</v>
      </c>
      <c r="C996">
        <v>28</v>
      </c>
      <c r="D996" t="s">
        <v>41</v>
      </c>
      <c r="E996" t="s">
        <v>61</v>
      </c>
      <c r="F996" t="s">
        <v>153</v>
      </c>
      <c r="G996" t="s">
        <v>117</v>
      </c>
      <c r="H996" t="s">
        <v>118</v>
      </c>
      <c r="I996" t="s">
        <v>65</v>
      </c>
      <c r="J996" t="s">
        <v>1112</v>
      </c>
      <c r="K996">
        <v>2022</v>
      </c>
      <c r="L996">
        <v>2</v>
      </c>
      <c r="M996">
        <v>4</v>
      </c>
      <c r="N996" t="s">
        <v>39</v>
      </c>
      <c r="O996">
        <v>4</v>
      </c>
      <c r="P996">
        <v>2</v>
      </c>
      <c r="Q996" t="s">
        <v>31</v>
      </c>
      <c r="R996">
        <v>4</v>
      </c>
      <c r="S996">
        <v>35</v>
      </c>
      <c r="T996">
        <v>98789</v>
      </c>
      <c r="U996">
        <v>2800</v>
      </c>
      <c r="V996">
        <v>14.8</v>
      </c>
      <c r="W996" t="s">
        <v>31</v>
      </c>
    </row>
    <row r="997" spans="1:23" x14ac:dyDescent="0.3">
      <c r="A997" t="s">
        <v>1787</v>
      </c>
      <c r="B997" t="s">
        <v>2085</v>
      </c>
      <c r="C997">
        <v>47</v>
      </c>
      <c r="D997" t="s">
        <v>33</v>
      </c>
      <c r="E997" t="s">
        <v>71</v>
      </c>
      <c r="F997" t="s">
        <v>137</v>
      </c>
      <c r="G997" t="s">
        <v>36</v>
      </c>
      <c r="H997" t="s">
        <v>76</v>
      </c>
      <c r="I997" t="s">
        <v>27</v>
      </c>
      <c r="J997" t="s">
        <v>887</v>
      </c>
      <c r="K997">
        <v>2024</v>
      </c>
      <c r="L997">
        <v>0</v>
      </c>
      <c r="M997">
        <v>18</v>
      </c>
      <c r="N997" t="s">
        <v>98</v>
      </c>
      <c r="O997">
        <v>3</v>
      </c>
      <c r="P997">
        <v>1</v>
      </c>
      <c r="Q997" t="s">
        <v>30</v>
      </c>
      <c r="R997">
        <v>1</v>
      </c>
      <c r="S997">
        <v>52</v>
      </c>
      <c r="T997">
        <v>62666</v>
      </c>
      <c r="U997">
        <v>4000</v>
      </c>
      <c r="V997">
        <v>8.6</v>
      </c>
      <c r="W997" t="s">
        <v>30</v>
      </c>
    </row>
    <row r="998" spans="1:23" x14ac:dyDescent="0.3">
      <c r="A998" t="s">
        <v>1788</v>
      </c>
      <c r="B998" t="s">
        <v>2182</v>
      </c>
      <c r="C998">
        <v>30</v>
      </c>
      <c r="D998" t="s">
        <v>33</v>
      </c>
      <c r="E998" t="s">
        <v>34</v>
      </c>
      <c r="F998" t="s">
        <v>153</v>
      </c>
      <c r="G998" t="s">
        <v>43</v>
      </c>
      <c r="H998" t="s">
        <v>72</v>
      </c>
      <c r="I998" t="s">
        <v>27</v>
      </c>
      <c r="J998" t="s">
        <v>1157</v>
      </c>
      <c r="K998">
        <v>2024</v>
      </c>
      <c r="L998">
        <v>0</v>
      </c>
      <c r="M998">
        <v>5</v>
      </c>
      <c r="N998" t="s">
        <v>98</v>
      </c>
      <c r="O998">
        <v>1</v>
      </c>
      <c r="P998">
        <v>2</v>
      </c>
      <c r="Q998" t="s">
        <v>31</v>
      </c>
      <c r="R998">
        <v>2</v>
      </c>
      <c r="S998">
        <v>43</v>
      </c>
      <c r="T998">
        <v>105635</v>
      </c>
      <c r="U998">
        <v>6800</v>
      </c>
      <c r="V998">
        <v>6.7</v>
      </c>
      <c r="W998" t="s">
        <v>31</v>
      </c>
    </row>
    <row r="999" spans="1:23" x14ac:dyDescent="0.3">
      <c r="A999" t="s">
        <v>1789</v>
      </c>
      <c r="B999" t="s">
        <v>1956</v>
      </c>
      <c r="C999">
        <v>33</v>
      </c>
      <c r="D999" t="s">
        <v>33</v>
      </c>
      <c r="E999" t="s">
        <v>34</v>
      </c>
      <c r="F999" t="s">
        <v>57</v>
      </c>
      <c r="G999" t="s">
        <v>43</v>
      </c>
      <c r="H999" t="s">
        <v>48</v>
      </c>
      <c r="I999" t="s">
        <v>27</v>
      </c>
      <c r="J999" t="s">
        <v>947</v>
      </c>
      <c r="K999">
        <v>2023</v>
      </c>
      <c r="L999">
        <v>1</v>
      </c>
      <c r="M999">
        <v>9</v>
      </c>
      <c r="N999" t="s">
        <v>98</v>
      </c>
      <c r="O999">
        <v>5</v>
      </c>
      <c r="P999">
        <v>4</v>
      </c>
      <c r="Q999" t="s">
        <v>31</v>
      </c>
      <c r="R999">
        <v>24</v>
      </c>
      <c r="S999">
        <v>25</v>
      </c>
      <c r="T999">
        <v>122385</v>
      </c>
      <c r="U999">
        <v>7800</v>
      </c>
      <c r="V999">
        <v>6.4</v>
      </c>
      <c r="W999" t="s">
        <v>31</v>
      </c>
    </row>
    <row r="1000" spans="1:23" x14ac:dyDescent="0.3">
      <c r="A1000" t="s">
        <v>1790</v>
      </c>
      <c r="B1000" t="s">
        <v>1927</v>
      </c>
      <c r="C1000">
        <v>34</v>
      </c>
      <c r="D1000" t="s">
        <v>33</v>
      </c>
      <c r="E1000" t="s">
        <v>34</v>
      </c>
      <c r="F1000" t="s">
        <v>57</v>
      </c>
      <c r="G1000" t="s">
        <v>117</v>
      </c>
      <c r="H1000" t="s">
        <v>298</v>
      </c>
      <c r="I1000" t="s">
        <v>27</v>
      </c>
      <c r="J1000" t="s">
        <v>1234</v>
      </c>
      <c r="K1000">
        <v>2021</v>
      </c>
      <c r="L1000">
        <v>3</v>
      </c>
      <c r="M1000">
        <v>8</v>
      </c>
      <c r="N1000" t="s">
        <v>29</v>
      </c>
      <c r="O1000">
        <v>3</v>
      </c>
      <c r="P1000">
        <v>5</v>
      </c>
      <c r="Q1000" t="s">
        <v>30</v>
      </c>
      <c r="R1000">
        <v>13</v>
      </c>
      <c r="S1000">
        <v>68</v>
      </c>
      <c r="T1000">
        <v>99378</v>
      </c>
      <c r="U1000">
        <v>10900</v>
      </c>
      <c r="V1000">
        <v>13.5</v>
      </c>
      <c r="W1000" t="s">
        <v>31</v>
      </c>
    </row>
    <row r="1001" spans="1:23" x14ac:dyDescent="0.3">
      <c r="A1001" t="s">
        <v>1791</v>
      </c>
      <c r="B1001" t="s">
        <v>2066</v>
      </c>
      <c r="C1001">
        <v>27</v>
      </c>
      <c r="D1001" t="s">
        <v>22</v>
      </c>
      <c r="E1001" t="s">
        <v>23</v>
      </c>
      <c r="F1001" t="s">
        <v>57</v>
      </c>
      <c r="G1001" t="s">
        <v>63</v>
      </c>
      <c r="H1001" t="s">
        <v>310</v>
      </c>
      <c r="I1001" t="s">
        <v>79</v>
      </c>
      <c r="J1001" t="s">
        <v>1345</v>
      </c>
      <c r="K1001">
        <v>2021</v>
      </c>
      <c r="L1001">
        <v>3</v>
      </c>
      <c r="M1001">
        <v>4</v>
      </c>
      <c r="N1001" t="s">
        <v>85</v>
      </c>
      <c r="O1001">
        <v>2</v>
      </c>
      <c r="P1001">
        <v>2</v>
      </c>
      <c r="Q1001" t="s">
        <v>31</v>
      </c>
      <c r="R1001">
        <v>0</v>
      </c>
      <c r="S1001">
        <v>15</v>
      </c>
      <c r="T1001">
        <v>40955</v>
      </c>
      <c r="U1001">
        <v>9200</v>
      </c>
      <c r="V1001">
        <v>7.5</v>
      </c>
      <c r="W1001" t="s">
        <v>31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F240-96E5-4DE1-9E14-BF3F5C708B18}">
  <dimension ref="A1:M16"/>
  <sheetViews>
    <sheetView showGridLines="0" workbookViewId="0">
      <selection activeCell="E22" sqref="E22"/>
    </sheetView>
  </sheetViews>
  <sheetFormatPr defaultRowHeight="14.4" x14ac:dyDescent="0.3"/>
  <cols>
    <col min="1" max="1" width="17" bestFit="1" customWidth="1"/>
    <col min="2" max="2" width="10.33203125" bestFit="1" customWidth="1"/>
    <col min="3" max="3" width="13.5546875" bestFit="1" customWidth="1"/>
    <col min="5" max="5" width="10.44140625" bestFit="1" customWidth="1"/>
    <col min="6" max="6" width="6.77734375" customWidth="1"/>
    <col min="7" max="7" width="17" bestFit="1" customWidth="1"/>
    <col min="8" max="8" width="11.109375" bestFit="1" customWidth="1"/>
    <col min="9" max="9" width="11.109375" customWidth="1"/>
    <col min="10" max="10" width="8.44140625" customWidth="1"/>
    <col min="11" max="11" width="10.77734375" bestFit="1" customWidth="1"/>
    <col min="12" max="12" width="10.21875" bestFit="1" customWidth="1"/>
  </cols>
  <sheetData>
    <row r="1" spans="1:13" ht="14.4" customHeight="1" x14ac:dyDescent="0.3">
      <c r="A1" s="13" t="s">
        <v>1795</v>
      </c>
      <c r="B1" s="13"/>
      <c r="C1" s="13"/>
      <c r="G1" s="13" t="s">
        <v>2232</v>
      </c>
      <c r="H1" s="13"/>
      <c r="I1" s="13"/>
      <c r="K1" s="13" t="s">
        <v>2229</v>
      </c>
      <c r="L1" s="13"/>
      <c r="M1" s="13"/>
    </row>
    <row r="2" spans="1:13" ht="14.4" customHeight="1" x14ac:dyDescent="0.3">
      <c r="A2" s="13"/>
      <c r="B2" s="13"/>
      <c r="C2" s="13"/>
      <c r="G2" s="14"/>
      <c r="H2" s="14"/>
      <c r="I2" s="14"/>
      <c r="K2" s="14"/>
      <c r="L2" s="14"/>
      <c r="M2" s="14"/>
    </row>
    <row r="3" spans="1:13" x14ac:dyDescent="0.3">
      <c r="A3" s="6" t="s">
        <v>5</v>
      </c>
      <c r="B3" s="6" t="s">
        <v>1792</v>
      </c>
      <c r="C3" s="6" t="s">
        <v>1796</v>
      </c>
      <c r="D3" s="6" t="s">
        <v>20</v>
      </c>
      <c r="E3" s="7" t="s">
        <v>1793</v>
      </c>
      <c r="G3" s="6" t="s">
        <v>2230</v>
      </c>
      <c r="H3" s="6" t="s">
        <v>20</v>
      </c>
      <c r="I3" s="6" t="s">
        <v>1792</v>
      </c>
      <c r="K3" s="6" t="s">
        <v>2</v>
      </c>
      <c r="L3" s="6" t="s">
        <v>1792</v>
      </c>
      <c r="M3" s="6" t="s">
        <v>20</v>
      </c>
    </row>
    <row r="4" spans="1:13" x14ac:dyDescent="0.3">
      <c r="A4" s="1" t="s">
        <v>25</v>
      </c>
      <c r="B4" s="1">
        <f>COUNTIF(Tab_101[Department],CAL!A4)</f>
        <v>110</v>
      </c>
      <c r="C4" s="2">
        <f>AVERAGEIF(Tab_101[[#All],[Department]],CAL!A4,Tab_101[[#All],[Salary]])</f>
        <v>84026.5</v>
      </c>
      <c r="D4" s="1">
        <f>COUNTIFS(Tab_101[[#All],[Department]],CAL!A4,Tab_101[[#All],[Attrition]],"Yes")</f>
        <v>16</v>
      </c>
      <c r="E4" s="3">
        <f>AVERAGEIF(Tab_101[[#All],[Department]],CAL!A4,Tab_101[[#All],[Bonus]])</f>
        <v>9249.0909090909099</v>
      </c>
      <c r="G4" s="5">
        <v>2024</v>
      </c>
      <c r="H4" s="1">
        <f>COUNTIFS(Tab_101[Year],CAL!G4,Tab_101[Attrition],"Yes")</f>
        <v>34</v>
      </c>
      <c r="I4" s="1">
        <f>COUNTIF(Tab_101[[#All],[Year]],CAL!G4)</f>
        <v>230</v>
      </c>
      <c r="K4" s="1" t="s">
        <v>22</v>
      </c>
      <c r="L4" s="1">
        <f>COUNTIF(Tab_101[Gender],CAL!K4)</f>
        <v>48</v>
      </c>
      <c r="M4" s="1">
        <f>COUNTIFS(Tab_101[[#All],[Gender]],CAL!K4,Tab_101[[#All],[Attrition]],"Yes")</f>
        <v>5</v>
      </c>
    </row>
    <row r="5" spans="1:13" x14ac:dyDescent="0.3">
      <c r="A5" s="1" t="s">
        <v>36</v>
      </c>
      <c r="B5" s="1">
        <f>COUNTIF(Tab_101[Department],CAL!A5)</f>
        <v>178</v>
      </c>
      <c r="C5" s="2">
        <f>AVERAGEIF(Tab_101[[#All],[Department]],CAL!A5,Tab_101[[#All],[Salary]])</f>
        <v>70911.966292134835</v>
      </c>
      <c r="D5" s="1">
        <f>COUNTIFS(Tab_101[[#All],[Department]],CAL!A5,Tab_101[[#All],[Attrition]],"Yes")</f>
        <v>30</v>
      </c>
      <c r="E5" s="3">
        <f>AVERAGEIF(Tab_101[[#All],[Department]],CAL!A5,Tab_101[[#All],[Bonus]])</f>
        <v>8687.0786516853932</v>
      </c>
      <c r="G5" s="5">
        <v>2023</v>
      </c>
      <c r="H5" s="1">
        <f>COUNTIFS(Tab_101[Year],CAL!G5,Tab_101[Attrition],"Yes")</f>
        <v>28</v>
      </c>
      <c r="I5" s="1">
        <f>COUNTIF(Tab_101[[#All],[Year]],CAL!G5)</f>
        <v>239</v>
      </c>
      <c r="K5" s="1" t="s">
        <v>33</v>
      </c>
      <c r="L5" s="1">
        <f>COUNTIF(Tab_101[Gender],CAL!K5)</f>
        <v>412</v>
      </c>
      <c r="M5" s="1">
        <f>COUNTIFS(Tab_101[[#All],[Gender]],CAL!K5,Tab_101[[#All],[Attrition]],"Yes")</f>
        <v>60</v>
      </c>
    </row>
    <row r="6" spans="1:13" x14ac:dyDescent="0.3">
      <c r="A6" s="1" t="s">
        <v>43</v>
      </c>
      <c r="B6" s="1">
        <f>COUNTIF(Tab_101[Department],CAL!A6)</f>
        <v>252</v>
      </c>
      <c r="C6" s="2">
        <f>AVERAGEIF(Tab_101[[#All],[Department]],CAL!A6,Tab_101[[#All],[Salary]])</f>
        <v>105665.21428571429</v>
      </c>
      <c r="D6" s="1">
        <f>COUNTIFS(Tab_101[[#All],[Department]],CAL!A6,Tab_101[[#All],[Attrition]],"Yes")</f>
        <v>29</v>
      </c>
      <c r="E6" s="3">
        <f>AVERAGEIF(Tab_101[[#All],[Department]],CAL!A6,Tab_101[[#All],[Bonus]])</f>
        <v>11719.047619047618</v>
      </c>
      <c r="G6" s="5">
        <v>2022</v>
      </c>
      <c r="H6" s="1">
        <f>COUNTIFS(Tab_101[Year],CAL!G6,Tab_101[Attrition],"Yes")</f>
        <v>44</v>
      </c>
      <c r="I6" s="1">
        <f>COUNTIF(Tab_101[[#All],[Year]],CAL!G6)</f>
        <v>247</v>
      </c>
      <c r="K6" s="1" t="s">
        <v>41</v>
      </c>
      <c r="L6" s="1">
        <f>COUNTIF(Tab_101[Gender],CAL!K6)</f>
        <v>540</v>
      </c>
      <c r="M6" s="1">
        <f>COUNTIFS(Tab_101[[#All],[Gender]],CAL!K6,Tab_101[[#All],[Attrition]],"Yes")</f>
        <v>76</v>
      </c>
    </row>
    <row r="7" spans="1:13" x14ac:dyDescent="0.3">
      <c r="A7" s="1" t="s">
        <v>52</v>
      </c>
      <c r="B7" s="1">
        <f>COUNTIF(Tab_101[Department],CAL!A7)</f>
        <v>115</v>
      </c>
      <c r="C7" s="2">
        <f>AVERAGEIF(Tab_101[[#All],[Department]],CAL!A7,Tab_101[[#All],[Salary]])</f>
        <v>66116.608695652176</v>
      </c>
      <c r="D7" s="1">
        <f>COUNTIFS(Tab_101[[#All],[Department]],CAL!A7,Tab_101[[#All],[Attrition]],"Yes")</f>
        <v>17</v>
      </c>
      <c r="E7" s="3">
        <f>AVERAGEIF(Tab_101[[#All],[Department]],CAL!A7,Tab_101[[#All],[Bonus]])</f>
        <v>7379.130434782609</v>
      </c>
      <c r="G7" s="5">
        <v>2021</v>
      </c>
      <c r="H7" s="1">
        <f>COUNTIFS(Tab_101[Year],CAL!G7,Tab_101[Attrition],"Yes")</f>
        <v>35</v>
      </c>
      <c r="I7" s="1">
        <f>COUNTIF(Tab_101[[#All],[Year]],CAL!G7)</f>
        <v>284</v>
      </c>
    </row>
    <row r="8" spans="1:13" x14ac:dyDescent="0.3">
      <c r="A8" s="1" t="s">
        <v>63</v>
      </c>
      <c r="B8" s="1">
        <f>COUNTIF(Tab_101[Department],CAL!A8)</f>
        <v>83</v>
      </c>
      <c r="C8" s="2">
        <f>AVERAGEIF(Tab_101[[#All],[Department]],CAL!A8,Tab_101[[#All],[Salary]])</f>
        <v>50530.060240963852</v>
      </c>
      <c r="D8" s="1">
        <f>COUNTIFS(Tab_101[[#All],[Department]],CAL!A8,Tab_101[[#All],[Attrition]],"Yes")</f>
        <v>9</v>
      </c>
      <c r="E8" s="3">
        <f>AVERAGEIF(Tab_101[[#All],[Department]],CAL!A8,Tab_101[[#All],[Bonus]])</f>
        <v>5572.2891566265062</v>
      </c>
    </row>
    <row r="9" spans="1:13" x14ac:dyDescent="0.3">
      <c r="A9" s="1" t="s">
        <v>82</v>
      </c>
      <c r="B9" s="1">
        <f>COUNTIF(Tab_101[Department],CAL!A9)</f>
        <v>102</v>
      </c>
      <c r="C9" s="2">
        <f>AVERAGEIF(Tab_101[[#All],[Department]],CAL!A9,Tab_101[[#All],[Salary]])</f>
        <v>68366.588235294112</v>
      </c>
      <c r="D9" s="1">
        <f>COUNTIFS(Tab_101[[#All],[Department]],CAL!A9,Tab_101[[#All],[Attrition]],"Yes")</f>
        <v>19</v>
      </c>
      <c r="E9" s="3">
        <f>AVERAGEIF(Tab_101[[#All],[Department]],CAL!A9,Tab_101[[#All],[Bonus]])</f>
        <v>8033.333333333333</v>
      </c>
    </row>
    <row r="10" spans="1:13" x14ac:dyDescent="0.3">
      <c r="A10" s="1" t="s">
        <v>100</v>
      </c>
      <c r="B10" s="1">
        <f>COUNTIF(Tab_101[Department],CAL!A10)</f>
        <v>80</v>
      </c>
      <c r="C10" s="2">
        <f>AVERAGEIF(Tab_101[[#All],[Department]],CAL!A10,Tab_101[[#All],[Salary]])</f>
        <v>58117.512499999997</v>
      </c>
      <c r="D10" s="1">
        <f>COUNTIFS(Tab_101[[#All],[Department]],CAL!A10,Tab_101[[#All],[Attrition]],"Yes")</f>
        <v>14</v>
      </c>
      <c r="E10" s="3">
        <f>AVERAGEIF(Tab_101[[#All],[Department]],CAL!A10,Tab_101[[#All],[Bonus]])</f>
        <v>6877.5</v>
      </c>
    </row>
    <row r="11" spans="1:13" x14ac:dyDescent="0.3">
      <c r="A11" s="1" t="s">
        <v>117</v>
      </c>
      <c r="B11" s="1">
        <f>COUNTIF(Tab_101[Department],CAL!A11)</f>
        <v>80</v>
      </c>
      <c r="C11" s="2">
        <f>AVERAGEIF(Tab_101[[#All],[Department]],CAL!A11,Tab_101[[#All],[Salary]])</f>
        <v>79815.912500000006</v>
      </c>
      <c r="D11" s="1">
        <f>COUNTIFS(Tab_101[[#All],[Department]],CAL!A11,Tab_101[[#All],[Attrition]],"Yes")</f>
        <v>7</v>
      </c>
      <c r="E11" s="3">
        <f>AVERAGEIF(Tab_101[[#All],[Department]],CAL!A11,Tab_101[[#All],[Bonus]])</f>
        <v>9756.25</v>
      </c>
    </row>
    <row r="14" spans="1:13" x14ac:dyDescent="0.3">
      <c r="A14" s="8" t="s">
        <v>0</v>
      </c>
      <c r="B14" s="1" t="s">
        <v>2231</v>
      </c>
    </row>
    <row r="15" spans="1:13" x14ac:dyDescent="0.3">
      <c r="A15" s="8" t="s">
        <v>5</v>
      </c>
      <c r="B15" s="1" t="str">
        <f>VLOOKUP($B$14,Tab_101[],MATCH(A15,Tab_101[#Headers],0))</f>
        <v>Engineering</v>
      </c>
    </row>
    <row r="16" spans="1:13" x14ac:dyDescent="0.3">
      <c r="A16" s="8" t="s">
        <v>7</v>
      </c>
      <c r="B16" s="1" t="str">
        <f>VLOOKUP($B$14,Tab_101[],MATCH(A16,Tab_101[#Headers],0))</f>
        <v>Full-Time</v>
      </c>
    </row>
  </sheetData>
  <sortState xmlns:xlrd2="http://schemas.microsoft.com/office/spreadsheetml/2017/richdata2" ref="G4:G7">
    <sortCondition descending="1" ref="G4:G7"/>
  </sortState>
  <mergeCells count="3">
    <mergeCell ref="A1:C2"/>
    <mergeCell ref="K1:M2"/>
    <mergeCell ref="G1: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3C3FE-8C68-4236-BF2A-4730D824F0CC}">
  <dimension ref="A1:W86"/>
  <sheetViews>
    <sheetView workbookViewId="0">
      <selection activeCell="A3" sqref="A3:W86"/>
    </sheetView>
  </sheetViews>
  <sheetFormatPr defaultRowHeight="14.4" x14ac:dyDescent="0.3"/>
  <cols>
    <col min="1" max="1" width="14.33203125" bestFit="1" customWidth="1"/>
    <col min="2" max="2" width="17" bestFit="1" customWidth="1"/>
    <col min="3" max="3" width="9" bestFit="1" customWidth="1"/>
    <col min="4" max="4" width="10.77734375" bestFit="1" customWidth="1"/>
    <col min="5" max="5" width="11.6640625" bestFit="1" customWidth="1"/>
    <col min="6" max="6" width="10.77734375" bestFit="1" customWidth="1"/>
    <col min="7" max="7" width="15.77734375" bestFit="1" customWidth="1"/>
    <col min="8" max="8" width="23.5546875" bestFit="1" customWidth="1"/>
    <col min="9" max="9" width="19.21875" bestFit="1" customWidth="1"/>
    <col min="10" max="10" width="11.44140625" bestFit="1" customWidth="1"/>
    <col min="11" max="11" width="9" bestFit="1" customWidth="1"/>
    <col min="12" max="12" width="19.88671875" bestFit="1" customWidth="1"/>
    <col min="13" max="13" width="17.88671875" bestFit="1" customWidth="1"/>
    <col min="14" max="14" width="20.6640625" bestFit="1" customWidth="1"/>
    <col min="15" max="15" width="17" bestFit="1" customWidth="1"/>
    <col min="16" max="16" width="19.5546875" bestFit="1" customWidth="1"/>
    <col min="17" max="17" width="11" bestFit="1" customWidth="1"/>
    <col min="18" max="18" width="15" bestFit="1" customWidth="1"/>
    <col min="19" max="19" width="16" bestFit="1" customWidth="1"/>
    <col min="20" max="21" width="9" bestFit="1" customWidth="1"/>
    <col min="22" max="22" width="15.5546875" bestFit="1" customWidth="1"/>
    <col min="23" max="23" width="10.21875" bestFit="1" customWidth="1"/>
  </cols>
  <sheetData>
    <row r="1" spans="1:23" x14ac:dyDescent="0.3">
      <c r="A1" s="4" t="s">
        <v>2238</v>
      </c>
    </row>
    <row r="3" spans="1:23" x14ac:dyDescent="0.3">
      <c r="A3" t="s">
        <v>0</v>
      </c>
      <c r="B3" t="s">
        <v>1797</v>
      </c>
      <c r="C3" t="s">
        <v>1</v>
      </c>
      <c r="D3" t="s">
        <v>2</v>
      </c>
      <c r="E3" t="s">
        <v>3</v>
      </c>
      <c r="F3" t="s">
        <v>4</v>
      </c>
      <c r="G3" t="s">
        <v>5</v>
      </c>
      <c r="H3" t="s">
        <v>6</v>
      </c>
      <c r="I3" t="s">
        <v>7</v>
      </c>
      <c r="J3" t="s">
        <v>8</v>
      </c>
      <c r="K3" t="s">
        <v>1794</v>
      </c>
      <c r="L3" t="s">
        <v>9</v>
      </c>
      <c r="M3" t="s">
        <v>10</v>
      </c>
      <c r="N3" t="s">
        <v>11</v>
      </c>
      <c r="O3" t="s">
        <v>12</v>
      </c>
      <c r="P3" t="s">
        <v>13</v>
      </c>
      <c r="Q3" t="s">
        <v>14</v>
      </c>
      <c r="R3" t="s">
        <v>15</v>
      </c>
      <c r="S3" t="s">
        <v>16</v>
      </c>
      <c r="T3" t="s">
        <v>17</v>
      </c>
      <c r="U3" t="s">
        <v>18</v>
      </c>
      <c r="V3" t="s">
        <v>19</v>
      </c>
      <c r="W3" t="s">
        <v>20</v>
      </c>
    </row>
    <row r="4" spans="1:23" x14ac:dyDescent="0.3">
      <c r="A4" t="s">
        <v>1791</v>
      </c>
      <c r="B4" t="s">
        <v>2066</v>
      </c>
      <c r="C4">
        <v>27</v>
      </c>
      <c r="D4" t="s">
        <v>22</v>
      </c>
      <c r="E4" t="s">
        <v>23</v>
      </c>
      <c r="F4" t="s">
        <v>57</v>
      </c>
      <c r="G4" t="s">
        <v>63</v>
      </c>
      <c r="H4" t="s">
        <v>310</v>
      </c>
      <c r="I4" t="s">
        <v>79</v>
      </c>
      <c r="J4" t="s">
        <v>1345</v>
      </c>
      <c r="K4">
        <v>2021</v>
      </c>
      <c r="L4">
        <v>3</v>
      </c>
      <c r="M4">
        <v>4</v>
      </c>
      <c r="N4" t="s">
        <v>85</v>
      </c>
      <c r="O4">
        <v>2</v>
      </c>
      <c r="P4">
        <v>2</v>
      </c>
      <c r="Q4" t="s">
        <v>31</v>
      </c>
      <c r="R4">
        <v>0</v>
      </c>
      <c r="S4">
        <v>15</v>
      </c>
      <c r="T4">
        <v>40955</v>
      </c>
      <c r="U4">
        <v>9200</v>
      </c>
      <c r="V4">
        <v>7.5</v>
      </c>
      <c r="W4" t="s">
        <v>31</v>
      </c>
    </row>
    <row r="5" spans="1:23" x14ac:dyDescent="0.3">
      <c r="A5" t="s">
        <v>1766</v>
      </c>
      <c r="B5" t="s">
        <v>1850</v>
      </c>
      <c r="C5">
        <v>32</v>
      </c>
      <c r="D5" t="s">
        <v>41</v>
      </c>
      <c r="E5" t="s">
        <v>34</v>
      </c>
      <c r="F5" t="s">
        <v>75</v>
      </c>
      <c r="G5" t="s">
        <v>63</v>
      </c>
      <c r="H5" t="s">
        <v>310</v>
      </c>
      <c r="I5" t="s">
        <v>27</v>
      </c>
      <c r="J5" t="s">
        <v>1767</v>
      </c>
      <c r="K5">
        <v>2022</v>
      </c>
      <c r="L5">
        <v>2</v>
      </c>
      <c r="M5">
        <v>10</v>
      </c>
      <c r="N5" t="s">
        <v>98</v>
      </c>
      <c r="O5">
        <v>2</v>
      </c>
      <c r="P5">
        <v>2</v>
      </c>
      <c r="Q5" t="s">
        <v>31</v>
      </c>
      <c r="R5">
        <v>10</v>
      </c>
      <c r="S5">
        <v>29</v>
      </c>
      <c r="T5">
        <v>53719</v>
      </c>
      <c r="U5">
        <v>4200</v>
      </c>
      <c r="V5">
        <v>14.2</v>
      </c>
      <c r="W5" t="s">
        <v>31</v>
      </c>
    </row>
    <row r="6" spans="1:23" x14ac:dyDescent="0.3">
      <c r="A6" t="s">
        <v>1757</v>
      </c>
      <c r="B6" t="s">
        <v>1959</v>
      </c>
      <c r="C6">
        <v>38</v>
      </c>
      <c r="D6" t="s">
        <v>33</v>
      </c>
      <c r="E6" t="s">
        <v>34</v>
      </c>
      <c r="F6" t="s">
        <v>137</v>
      </c>
      <c r="G6" t="s">
        <v>63</v>
      </c>
      <c r="H6" t="s">
        <v>225</v>
      </c>
      <c r="I6" t="s">
        <v>27</v>
      </c>
      <c r="J6" t="s">
        <v>1646</v>
      </c>
      <c r="K6">
        <v>2024</v>
      </c>
      <c r="L6">
        <v>0</v>
      </c>
      <c r="M6">
        <v>16</v>
      </c>
      <c r="N6" t="s">
        <v>29</v>
      </c>
      <c r="O6">
        <v>2</v>
      </c>
      <c r="P6">
        <v>4</v>
      </c>
      <c r="Q6" t="s">
        <v>31</v>
      </c>
      <c r="R6">
        <v>13</v>
      </c>
      <c r="S6">
        <v>17</v>
      </c>
      <c r="T6">
        <v>48086</v>
      </c>
      <c r="U6">
        <v>6100</v>
      </c>
      <c r="V6">
        <v>3.7</v>
      </c>
      <c r="W6" t="s">
        <v>31</v>
      </c>
    </row>
    <row r="7" spans="1:23" x14ac:dyDescent="0.3">
      <c r="A7" t="s">
        <v>1750</v>
      </c>
      <c r="B7" t="s">
        <v>1893</v>
      </c>
      <c r="C7">
        <v>23</v>
      </c>
      <c r="D7" t="s">
        <v>41</v>
      </c>
      <c r="E7" t="s">
        <v>71</v>
      </c>
      <c r="F7" t="s">
        <v>42</v>
      </c>
      <c r="G7" t="s">
        <v>63</v>
      </c>
      <c r="H7" t="s">
        <v>225</v>
      </c>
      <c r="I7" t="s">
        <v>27</v>
      </c>
      <c r="J7" t="s">
        <v>557</v>
      </c>
      <c r="K7">
        <v>2021</v>
      </c>
      <c r="L7">
        <v>3</v>
      </c>
      <c r="M7">
        <v>1</v>
      </c>
      <c r="N7" t="s">
        <v>39</v>
      </c>
      <c r="O7">
        <v>2</v>
      </c>
      <c r="P7">
        <v>3</v>
      </c>
      <c r="Q7" t="s">
        <v>30</v>
      </c>
      <c r="R7">
        <v>8</v>
      </c>
      <c r="S7">
        <v>21</v>
      </c>
      <c r="T7">
        <v>38693</v>
      </c>
      <c r="U7">
        <v>1100</v>
      </c>
      <c r="V7">
        <v>9.1999999999999993</v>
      </c>
      <c r="W7" t="s">
        <v>31</v>
      </c>
    </row>
    <row r="8" spans="1:23" x14ac:dyDescent="0.3">
      <c r="A8" t="s">
        <v>1747</v>
      </c>
      <c r="B8" t="s">
        <v>1866</v>
      </c>
      <c r="C8">
        <v>35</v>
      </c>
      <c r="D8" t="s">
        <v>33</v>
      </c>
      <c r="E8" t="s">
        <v>71</v>
      </c>
      <c r="F8" t="s">
        <v>153</v>
      </c>
      <c r="G8" t="s">
        <v>63</v>
      </c>
      <c r="H8" t="s">
        <v>225</v>
      </c>
      <c r="I8" t="s">
        <v>79</v>
      </c>
      <c r="J8" t="s">
        <v>1748</v>
      </c>
      <c r="K8">
        <v>2023</v>
      </c>
      <c r="L8">
        <v>1</v>
      </c>
      <c r="M8">
        <v>8</v>
      </c>
      <c r="N8" t="s">
        <v>29</v>
      </c>
      <c r="O8">
        <v>5</v>
      </c>
      <c r="P8">
        <v>1</v>
      </c>
      <c r="Q8" t="s">
        <v>30</v>
      </c>
      <c r="R8">
        <v>3</v>
      </c>
      <c r="S8">
        <v>49</v>
      </c>
      <c r="T8">
        <v>64253</v>
      </c>
      <c r="U8">
        <v>8800</v>
      </c>
      <c r="V8">
        <v>4.5</v>
      </c>
      <c r="W8" t="s">
        <v>31</v>
      </c>
    </row>
    <row r="9" spans="1:23" x14ac:dyDescent="0.3">
      <c r="A9" t="s">
        <v>1721</v>
      </c>
      <c r="B9" t="s">
        <v>1988</v>
      </c>
      <c r="C9">
        <v>45</v>
      </c>
      <c r="D9" t="s">
        <v>41</v>
      </c>
      <c r="E9" t="s">
        <v>71</v>
      </c>
      <c r="F9" t="s">
        <v>75</v>
      </c>
      <c r="G9" t="s">
        <v>63</v>
      </c>
      <c r="H9" t="s">
        <v>337</v>
      </c>
      <c r="I9" t="s">
        <v>27</v>
      </c>
      <c r="J9" t="s">
        <v>518</v>
      </c>
      <c r="K9">
        <v>2024</v>
      </c>
      <c r="L9">
        <v>0</v>
      </c>
      <c r="M9">
        <v>19</v>
      </c>
      <c r="N9" t="s">
        <v>29</v>
      </c>
      <c r="O9">
        <v>5</v>
      </c>
      <c r="P9">
        <v>1</v>
      </c>
      <c r="Q9" t="s">
        <v>30</v>
      </c>
      <c r="R9">
        <v>7</v>
      </c>
      <c r="S9">
        <v>24</v>
      </c>
      <c r="T9">
        <v>53713</v>
      </c>
      <c r="U9">
        <v>5800</v>
      </c>
      <c r="V9">
        <v>13.2</v>
      </c>
      <c r="W9" t="s">
        <v>31</v>
      </c>
    </row>
    <row r="10" spans="1:23" x14ac:dyDescent="0.3">
      <c r="A10" t="s">
        <v>60</v>
      </c>
      <c r="B10" t="s">
        <v>1804</v>
      </c>
      <c r="C10">
        <v>34</v>
      </c>
      <c r="D10" t="s">
        <v>33</v>
      </c>
      <c r="E10" t="s">
        <v>61</v>
      </c>
      <c r="F10" t="s">
        <v>62</v>
      </c>
      <c r="G10" t="s">
        <v>63</v>
      </c>
      <c r="H10" t="s">
        <v>64</v>
      </c>
      <c r="I10" t="s">
        <v>65</v>
      </c>
      <c r="J10" t="s">
        <v>66</v>
      </c>
      <c r="K10">
        <v>2023</v>
      </c>
      <c r="L10">
        <v>1</v>
      </c>
      <c r="M10">
        <v>9</v>
      </c>
      <c r="N10" t="s">
        <v>29</v>
      </c>
      <c r="O10">
        <v>3</v>
      </c>
      <c r="P10">
        <v>1</v>
      </c>
      <c r="Q10" t="s">
        <v>31</v>
      </c>
      <c r="R10">
        <v>5</v>
      </c>
      <c r="S10">
        <v>34</v>
      </c>
      <c r="T10">
        <v>62694</v>
      </c>
      <c r="U10">
        <v>8300</v>
      </c>
      <c r="V10">
        <v>10.5</v>
      </c>
      <c r="W10" t="s">
        <v>31</v>
      </c>
    </row>
    <row r="11" spans="1:23" x14ac:dyDescent="0.3">
      <c r="A11" t="s">
        <v>1701</v>
      </c>
      <c r="B11" t="s">
        <v>1968</v>
      </c>
      <c r="C11">
        <v>46</v>
      </c>
      <c r="D11" t="s">
        <v>41</v>
      </c>
      <c r="E11" t="s">
        <v>34</v>
      </c>
      <c r="F11" t="s">
        <v>75</v>
      </c>
      <c r="G11" t="s">
        <v>63</v>
      </c>
      <c r="H11" t="s">
        <v>225</v>
      </c>
      <c r="I11" t="s">
        <v>27</v>
      </c>
      <c r="J11" t="s">
        <v>1096</v>
      </c>
      <c r="K11">
        <v>2023</v>
      </c>
      <c r="L11">
        <v>1</v>
      </c>
      <c r="M11">
        <v>20</v>
      </c>
      <c r="N11" t="s">
        <v>39</v>
      </c>
      <c r="O11">
        <v>4</v>
      </c>
      <c r="P11">
        <v>5</v>
      </c>
      <c r="Q11" t="s">
        <v>31</v>
      </c>
      <c r="R11">
        <v>20</v>
      </c>
      <c r="S11">
        <v>43</v>
      </c>
      <c r="T11">
        <v>37466</v>
      </c>
      <c r="U11">
        <v>1000</v>
      </c>
      <c r="V11">
        <v>10.3</v>
      </c>
      <c r="W11" t="s">
        <v>31</v>
      </c>
    </row>
    <row r="12" spans="1:23" x14ac:dyDescent="0.3">
      <c r="A12" t="s">
        <v>1682</v>
      </c>
      <c r="B12" t="s">
        <v>1813</v>
      </c>
      <c r="C12">
        <v>32</v>
      </c>
      <c r="D12" t="s">
        <v>41</v>
      </c>
      <c r="E12" t="s">
        <v>71</v>
      </c>
      <c r="F12" t="s">
        <v>42</v>
      </c>
      <c r="G12" t="s">
        <v>63</v>
      </c>
      <c r="H12" t="s">
        <v>225</v>
      </c>
      <c r="I12" t="s">
        <v>27</v>
      </c>
      <c r="J12" t="s">
        <v>1683</v>
      </c>
      <c r="K12">
        <v>2022</v>
      </c>
      <c r="L12">
        <v>2</v>
      </c>
      <c r="M12">
        <v>6</v>
      </c>
      <c r="N12" t="s">
        <v>85</v>
      </c>
      <c r="O12">
        <v>2</v>
      </c>
      <c r="P12">
        <v>2</v>
      </c>
      <c r="Q12" t="s">
        <v>31</v>
      </c>
      <c r="R12">
        <v>23</v>
      </c>
      <c r="S12">
        <v>13</v>
      </c>
      <c r="T12">
        <v>40894</v>
      </c>
      <c r="U12">
        <v>7800</v>
      </c>
      <c r="V12">
        <v>7</v>
      </c>
      <c r="W12" t="s">
        <v>31</v>
      </c>
    </row>
    <row r="13" spans="1:23" x14ac:dyDescent="0.3">
      <c r="A13" t="s">
        <v>1665</v>
      </c>
      <c r="B13" t="s">
        <v>2004</v>
      </c>
      <c r="C13">
        <v>25</v>
      </c>
      <c r="D13" t="s">
        <v>33</v>
      </c>
      <c r="E13" t="s">
        <v>34</v>
      </c>
      <c r="F13" t="s">
        <v>47</v>
      </c>
      <c r="G13" t="s">
        <v>63</v>
      </c>
      <c r="H13" t="s">
        <v>64</v>
      </c>
      <c r="I13" t="s">
        <v>27</v>
      </c>
      <c r="J13" t="s">
        <v>125</v>
      </c>
      <c r="K13">
        <v>2022</v>
      </c>
      <c r="L13">
        <v>2</v>
      </c>
      <c r="M13">
        <v>1</v>
      </c>
      <c r="N13" t="s">
        <v>39</v>
      </c>
      <c r="O13">
        <v>4</v>
      </c>
      <c r="P13">
        <v>1</v>
      </c>
      <c r="Q13" t="s">
        <v>30</v>
      </c>
      <c r="R13">
        <v>23</v>
      </c>
      <c r="S13">
        <v>15</v>
      </c>
      <c r="T13">
        <v>53796</v>
      </c>
      <c r="U13">
        <v>1400</v>
      </c>
      <c r="V13">
        <v>13.5</v>
      </c>
      <c r="W13" t="s">
        <v>30</v>
      </c>
    </row>
    <row r="14" spans="1:23" x14ac:dyDescent="0.3">
      <c r="A14" t="s">
        <v>1620</v>
      </c>
      <c r="B14" t="s">
        <v>2044</v>
      </c>
      <c r="C14">
        <v>29</v>
      </c>
      <c r="D14" t="s">
        <v>41</v>
      </c>
      <c r="E14" t="s">
        <v>61</v>
      </c>
      <c r="F14" t="s">
        <v>42</v>
      </c>
      <c r="G14" t="s">
        <v>63</v>
      </c>
      <c r="H14" t="s">
        <v>225</v>
      </c>
      <c r="I14" t="s">
        <v>27</v>
      </c>
      <c r="J14" t="s">
        <v>1621</v>
      </c>
      <c r="K14">
        <v>2021</v>
      </c>
      <c r="L14">
        <v>3</v>
      </c>
      <c r="M14">
        <v>2</v>
      </c>
      <c r="N14" t="s">
        <v>29</v>
      </c>
      <c r="O14">
        <v>1</v>
      </c>
      <c r="P14">
        <v>1</v>
      </c>
      <c r="Q14" t="s">
        <v>31</v>
      </c>
      <c r="R14">
        <v>0</v>
      </c>
      <c r="S14">
        <v>19</v>
      </c>
      <c r="T14">
        <v>61662</v>
      </c>
      <c r="U14">
        <v>7500</v>
      </c>
      <c r="V14">
        <v>3.3</v>
      </c>
      <c r="W14" t="s">
        <v>31</v>
      </c>
    </row>
    <row r="15" spans="1:23" x14ac:dyDescent="0.3">
      <c r="A15" t="s">
        <v>1610</v>
      </c>
      <c r="B15" t="s">
        <v>2127</v>
      </c>
      <c r="C15">
        <v>27</v>
      </c>
      <c r="D15" t="s">
        <v>33</v>
      </c>
      <c r="E15" t="s">
        <v>34</v>
      </c>
      <c r="F15" t="s">
        <v>47</v>
      </c>
      <c r="G15" t="s">
        <v>63</v>
      </c>
      <c r="H15" t="s">
        <v>337</v>
      </c>
      <c r="I15" t="s">
        <v>27</v>
      </c>
      <c r="J15" t="s">
        <v>696</v>
      </c>
      <c r="K15">
        <v>2023</v>
      </c>
      <c r="L15">
        <v>1</v>
      </c>
      <c r="M15">
        <v>2</v>
      </c>
      <c r="N15" t="s">
        <v>98</v>
      </c>
      <c r="O15">
        <v>4</v>
      </c>
      <c r="P15">
        <v>4</v>
      </c>
      <c r="Q15" t="s">
        <v>31</v>
      </c>
      <c r="R15">
        <v>22</v>
      </c>
      <c r="S15">
        <v>72</v>
      </c>
      <c r="T15">
        <v>58147</v>
      </c>
      <c r="U15">
        <v>4600</v>
      </c>
      <c r="V15">
        <v>9.3000000000000007</v>
      </c>
      <c r="W15" t="s">
        <v>31</v>
      </c>
    </row>
    <row r="16" spans="1:23" x14ac:dyDescent="0.3">
      <c r="A16" t="s">
        <v>1604</v>
      </c>
      <c r="B16" t="s">
        <v>1987</v>
      </c>
      <c r="C16">
        <v>35</v>
      </c>
      <c r="D16" t="s">
        <v>41</v>
      </c>
      <c r="E16" t="s">
        <v>71</v>
      </c>
      <c r="F16" t="s">
        <v>35</v>
      </c>
      <c r="G16" t="s">
        <v>63</v>
      </c>
      <c r="H16" t="s">
        <v>337</v>
      </c>
      <c r="I16" t="s">
        <v>79</v>
      </c>
      <c r="J16" t="s">
        <v>1605</v>
      </c>
      <c r="K16">
        <v>2024</v>
      </c>
      <c r="L16">
        <v>0</v>
      </c>
      <c r="M16">
        <v>10</v>
      </c>
      <c r="N16" t="s">
        <v>29</v>
      </c>
      <c r="O16">
        <v>4</v>
      </c>
      <c r="P16">
        <v>2</v>
      </c>
      <c r="Q16" t="s">
        <v>31</v>
      </c>
      <c r="R16">
        <v>13</v>
      </c>
      <c r="S16">
        <v>15</v>
      </c>
      <c r="T16">
        <v>53597</v>
      </c>
      <c r="U16">
        <v>5200</v>
      </c>
      <c r="V16">
        <v>10.8</v>
      </c>
      <c r="W16" t="s">
        <v>31</v>
      </c>
    </row>
    <row r="17" spans="1:23" x14ac:dyDescent="0.3">
      <c r="A17" t="s">
        <v>1587</v>
      </c>
      <c r="B17" t="s">
        <v>2203</v>
      </c>
      <c r="C17">
        <v>49</v>
      </c>
      <c r="D17" t="s">
        <v>33</v>
      </c>
      <c r="E17" t="s">
        <v>61</v>
      </c>
      <c r="F17" t="s">
        <v>62</v>
      </c>
      <c r="G17" t="s">
        <v>63</v>
      </c>
      <c r="H17" t="s">
        <v>337</v>
      </c>
      <c r="I17" t="s">
        <v>27</v>
      </c>
      <c r="J17" t="s">
        <v>812</v>
      </c>
      <c r="K17">
        <v>2024</v>
      </c>
      <c r="L17">
        <v>0</v>
      </c>
      <c r="M17">
        <v>19</v>
      </c>
      <c r="N17" t="s">
        <v>29</v>
      </c>
      <c r="O17">
        <v>3</v>
      </c>
      <c r="P17">
        <v>2</v>
      </c>
      <c r="Q17" t="s">
        <v>31</v>
      </c>
      <c r="R17">
        <v>12</v>
      </c>
      <c r="S17">
        <v>5</v>
      </c>
      <c r="T17">
        <v>52794</v>
      </c>
      <c r="U17">
        <v>7200</v>
      </c>
      <c r="V17">
        <v>13.3</v>
      </c>
      <c r="W17" t="s">
        <v>30</v>
      </c>
    </row>
    <row r="18" spans="1:23" x14ac:dyDescent="0.3">
      <c r="A18" t="s">
        <v>1582</v>
      </c>
      <c r="B18" t="s">
        <v>1870</v>
      </c>
      <c r="C18">
        <v>42</v>
      </c>
      <c r="D18" t="s">
        <v>41</v>
      </c>
      <c r="E18" t="s">
        <v>71</v>
      </c>
      <c r="F18" t="s">
        <v>137</v>
      </c>
      <c r="G18" t="s">
        <v>63</v>
      </c>
      <c r="H18" t="s">
        <v>337</v>
      </c>
      <c r="I18" t="s">
        <v>27</v>
      </c>
      <c r="J18" t="s">
        <v>544</v>
      </c>
      <c r="K18">
        <v>2022</v>
      </c>
      <c r="L18">
        <v>3</v>
      </c>
      <c r="M18">
        <v>13</v>
      </c>
      <c r="N18" t="s">
        <v>98</v>
      </c>
      <c r="O18">
        <v>2</v>
      </c>
      <c r="P18">
        <v>4</v>
      </c>
      <c r="Q18" t="s">
        <v>31</v>
      </c>
      <c r="R18">
        <v>10</v>
      </c>
      <c r="S18">
        <v>32</v>
      </c>
      <c r="T18">
        <v>59863</v>
      </c>
      <c r="U18">
        <v>3600</v>
      </c>
      <c r="V18">
        <v>6.9</v>
      </c>
      <c r="W18" t="s">
        <v>31</v>
      </c>
    </row>
    <row r="19" spans="1:23" x14ac:dyDescent="0.3">
      <c r="A19" t="s">
        <v>1574</v>
      </c>
      <c r="B19" t="s">
        <v>2167</v>
      </c>
      <c r="C19">
        <v>39</v>
      </c>
      <c r="D19" t="s">
        <v>33</v>
      </c>
      <c r="E19" t="s">
        <v>71</v>
      </c>
      <c r="F19" t="s">
        <v>75</v>
      </c>
      <c r="G19" t="s">
        <v>63</v>
      </c>
      <c r="H19" t="s">
        <v>225</v>
      </c>
      <c r="I19" t="s">
        <v>27</v>
      </c>
      <c r="J19" t="s">
        <v>599</v>
      </c>
      <c r="K19">
        <v>2021</v>
      </c>
      <c r="L19">
        <v>3</v>
      </c>
      <c r="M19">
        <v>10</v>
      </c>
      <c r="N19" t="s">
        <v>98</v>
      </c>
      <c r="O19">
        <v>3</v>
      </c>
      <c r="P19">
        <v>1</v>
      </c>
      <c r="Q19" t="s">
        <v>31</v>
      </c>
      <c r="R19">
        <v>21</v>
      </c>
      <c r="S19">
        <v>22</v>
      </c>
      <c r="T19">
        <v>36768</v>
      </c>
      <c r="U19">
        <v>2200</v>
      </c>
      <c r="V19">
        <v>10.6</v>
      </c>
      <c r="W19" t="s">
        <v>31</v>
      </c>
    </row>
    <row r="20" spans="1:23" x14ac:dyDescent="0.3">
      <c r="A20" t="s">
        <v>1567</v>
      </c>
      <c r="B20" t="s">
        <v>2202</v>
      </c>
      <c r="C20">
        <v>30</v>
      </c>
      <c r="D20" t="s">
        <v>22</v>
      </c>
      <c r="E20" t="s">
        <v>34</v>
      </c>
      <c r="F20" t="s">
        <v>35</v>
      </c>
      <c r="G20" t="s">
        <v>63</v>
      </c>
      <c r="H20" t="s">
        <v>64</v>
      </c>
      <c r="I20" t="s">
        <v>27</v>
      </c>
      <c r="J20" t="s">
        <v>1568</v>
      </c>
      <c r="K20">
        <v>2023</v>
      </c>
      <c r="L20">
        <v>1</v>
      </c>
      <c r="M20">
        <v>7</v>
      </c>
      <c r="N20" t="s">
        <v>85</v>
      </c>
      <c r="O20">
        <v>3</v>
      </c>
      <c r="P20">
        <v>2</v>
      </c>
      <c r="Q20" t="s">
        <v>30</v>
      </c>
      <c r="R20">
        <v>23</v>
      </c>
      <c r="S20">
        <v>46</v>
      </c>
      <c r="T20">
        <v>45888</v>
      </c>
      <c r="U20">
        <v>8600</v>
      </c>
      <c r="V20">
        <v>9.6999999999999993</v>
      </c>
      <c r="W20" t="s">
        <v>31</v>
      </c>
    </row>
    <row r="21" spans="1:23" x14ac:dyDescent="0.3">
      <c r="A21" t="s">
        <v>1558</v>
      </c>
      <c r="B21" t="s">
        <v>2199</v>
      </c>
      <c r="C21">
        <v>41</v>
      </c>
      <c r="D21" t="s">
        <v>41</v>
      </c>
      <c r="E21" t="s">
        <v>56</v>
      </c>
      <c r="F21" t="s">
        <v>137</v>
      </c>
      <c r="G21" t="s">
        <v>63</v>
      </c>
      <c r="H21" t="s">
        <v>64</v>
      </c>
      <c r="I21" t="s">
        <v>27</v>
      </c>
      <c r="J21" t="s">
        <v>1559</v>
      </c>
      <c r="K21">
        <v>2024</v>
      </c>
      <c r="L21">
        <v>0</v>
      </c>
      <c r="M21">
        <v>19</v>
      </c>
      <c r="N21" t="s">
        <v>85</v>
      </c>
      <c r="O21">
        <v>2</v>
      </c>
      <c r="P21">
        <v>2</v>
      </c>
      <c r="Q21" t="s">
        <v>31</v>
      </c>
      <c r="R21">
        <v>8</v>
      </c>
      <c r="S21">
        <v>60</v>
      </c>
      <c r="T21">
        <v>36631</v>
      </c>
      <c r="U21">
        <v>7000</v>
      </c>
      <c r="V21">
        <v>14.1</v>
      </c>
      <c r="W21" t="s">
        <v>31</v>
      </c>
    </row>
    <row r="22" spans="1:23" x14ac:dyDescent="0.3">
      <c r="A22" t="s">
        <v>1556</v>
      </c>
      <c r="B22" t="s">
        <v>1909</v>
      </c>
      <c r="C22">
        <v>36</v>
      </c>
      <c r="D22" t="s">
        <v>41</v>
      </c>
      <c r="E22" t="s">
        <v>34</v>
      </c>
      <c r="F22" t="s">
        <v>137</v>
      </c>
      <c r="G22" t="s">
        <v>63</v>
      </c>
      <c r="H22" t="s">
        <v>64</v>
      </c>
      <c r="I22" t="s">
        <v>27</v>
      </c>
      <c r="J22" t="s">
        <v>1557</v>
      </c>
      <c r="K22">
        <v>2021</v>
      </c>
      <c r="L22">
        <v>3</v>
      </c>
      <c r="M22">
        <v>9</v>
      </c>
      <c r="N22" t="s">
        <v>85</v>
      </c>
      <c r="O22">
        <v>5</v>
      </c>
      <c r="P22">
        <v>2</v>
      </c>
      <c r="Q22" t="s">
        <v>31</v>
      </c>
      <c r="R22">
        <v>0</v>
      </c>
      <c r="S22">
        <v>73</v>
      </c>
      <c r="T22">
        <v>39321</v>
      </c>
      <c r="U22">
        <v>8000</v>
      </c>
      <c r="V22">
        <v>11.2</v>
      </c>
      <c r="W22" t="s">
        <v>31</v>
      </c>
    </row>
    <row r="23" spans="1:23" x14ac:dyDescent="0.3">
      <c r="A23" t="s">
        <v>1554</v>
      </c>
      <c r="B23" t="s">
        <v>1837</v>
      </c>
      <c r="C23">
        <v>37</v>
      </c>
      <c r="D23" t="s">
        <v>41</v>
      </c>
      <c r="E23" t="s">
        <v>61</v>
      </c>
      <c r="F23" t="s">
        <v>62</v>
      </c>
      <c r="G23" t="s">
        <v>63</v>
      </c>
      <c r="H23" t="s">
        <v>225</v>
      </c>
      <c r="I23" t="s">
        <v>27</v>
      </c>
      <c r="J23" t="s">
        <v>1555</v>
      </c>
      <c r="K23">
        <v>2022</v>
      </c>
      <c r="L23">
        <v>2</v>
      </c>
      <c r="M23">
        <v>13</v>
      </c>
      <c r="N23" t="s">
        <v>29</v>
      </c>
      <c r="O23">
        <v>2</v>
      </c>
      <c r="P23">
        <v>4</v>
      </c>
      <c r="Q23" t="s">
        <v>30</v>
      </c>
      <c r="R23">
        <v>8</v>
      </c>
      <c r="S23">
        <v>22</v>
      </c>
      <c r="T23">
        <v>38164</v>
      </c>
      <c r="U23">
        <v>5100</v>
      </c>
      <c r="V23">
        <v>10.7</v>
      </c>
      <c r="W23" t="s">
        <v>31</v>
      </c>
    </row>
    <row r="24" spans="1:23" x14ac:dyDescent="0.3">
      <c r="A24" t="s">
        <v>1535</v>
      </c>
      <c r="B24" t="s">
        <v>2198</v>
      </c>
      <c r="C24">
        <v>29</v>
      </c>
      <c r="D24" t="s">
        <v>22</v>
      </c>
      <c r="E24" t="s">
        <v>34</v>
      </c>
      <c r="F24" t="s">
        <v>24</v>
      </c>
      <c r="G24" t="s">
        <v>63</v>
      </c>
      <c r="H24" t="s">
        <v>225</v>
      </c>
      <c r="I24" t="s">
        <v>79</v>
      </c>
      <c r="J24" t="s">
        <v>1254</v>
      </c>
      <c r="K24">
        <v>2023</v>
      </c>
      <c r="L24">
        <v>1</v>
      </c>
      <c r="M24">
        <v>7</v>
      </c>
      <c r="N24" t="s">
        <v>39</v>
      </c>
      <c r="O24">
        <v>3</v>
      </c>
      <c r="P24">
        <v>1</v>
      </c>
      <c r="Q24" t="s">
        <v>31</v>
      </c>
      <c r="R24">
        <v>1</v>
      </c>
      <c r="S24">
        <v>13</v>
      </c>
      <c r="T24">
        <v>60979</v>
      </c>
      <c r="U24">
        <v>1700</v>
      </c>
      <c r="V24">
        <v>9.5</v>
      </c>
      <c r="W24" t="s">
        <v>31</v>
      </c>
    </row>
    <row r="25" spans="1:23" x14ac:dyDescent="0.3">
      <c r="A25" t="s">
        <v>1534</v>
      </c>
      <c r="B25" t="s">
        <v>2108</v>
      </c>
      <c r="C25">
        <v>35</v>
      </c>
      <c r="D25" t="s">
        <v>33</v>
      </c>
      <c r="E25" t="s">
        <v>34</v>
      </c>
      <c r="F25" t="s">
        <v>51</v>
      </c>
      <c r="G25" t="s">
        <v>63</v>
      </c>
      <c r="H25" t="s">
        <v>225</v>
      </c>
      <c r="I25" t="s">
        <v>27</v>
      </c>
      <c r="J25" t="s">
        <v>858</v>
      </c>
      <c r="K25">
        <v>2023</v>
      </c>
      <c r="L25">
        <v>1</v>
      </c>
      <c r="M25">
        <v>6</v>
      </c>
      <c r="N25" t="s">
        <v>98</v>
      </c>
      <c r="O25">
        <v>1</v>
      </c>
      <c r="P25">
        <v>5</v>
      </c>
      <c r="Q25" t="s">
        <v>30</v>
      </c>
      <c r="R25">
        <v>1</v>
      </c>
      <c r="S25">
        <v>8</v>
      </c>
      <c r="T25">
        <v>41279</v>
      </c>
      <c r="U25">
        <v>3000</v>
      </c>
      <c r="V25">
        <v>7.6</v>
      </c>
      <c r="W25" t="s">
        <v>31</v>
      </c>
    </row>
    <row r="26" spans="1:23" x14ac:dyDescent="0.3">
      <c r="A26" t="s">
        <v>1483</v>
      </c>
      <c r="B26" t="s">
        <v>1863</v>
      </c>
      <c r="C26">
        <v>32</v>
      </c>
      <c r="D26" t="s">
        <v>41</v>
      </c>
      <c r="E26" t="s">
        <v>56</v>
      </c>
      <c r="F26" t="s">
        <v>62</v>
      </c>
      <c r="G26" t="s">
        <v>63</v>
      </c>
      <c r="H26" t="s">
        <v>64</v>
      </c>
      <c r="I26" t="s">
        <v>27</v>
      </c>
      <c r="J26" t="s">
        <v>1484</v>
      </c>
      <c r="K26">
        <v>2024</v>
      </c>
      <c r="L26">
        <v>0</v>
      </c>
      <c r="M26">
        <v>5</v>
      </c>
      <c r="N26" t="s">
        <v>98</v>
      </c>
      <c r="O26">
        <v>3</v>
      </c>
      <c r="P26">
        <v>3</v>
      </c>
      <c r="Q26" t="s">
        <v>30</v>
      </c>
      <c r="R26">
        <v>23</v>
      </c>
      <c r="S26">
        <v>48</v>
      </c>
      <c r="T26">
        <v>53888</v>
      </c>
      <c r="U26">
        <v>4500</v>
      </c>
      <c r="V26">
        <v>4.8</v>
      </c>
      <c r="W26" t="s">
        <v>31</v>
      </c>
    </row>
    <row r="27" spans="1:23" x14ac:dyDescent="0.3">
      <c r="A27" t="s">
        <v>1481</v>
      </c>
      <c r="B27" t="s">
        <v>2191</v>
      </c>
      <c r="C27">
        <v>44</v>
      </c>
      <c r="D27" t="s">
        <v>33</v>
      </c>
      <c r="E27" t="s">
        <v>34</v>
      </c>
      <c r="F27" t="s">
        <v>47</v>
      </c>
      <c r="G27" t="s">
        <v>63</v>
      </c>
      <c r="H27" t="s">
        <v>225</v>
      </c>
      <c r="I27" t="s">
        <v>27</v>
      </c>
      <c r="J27" t="s">
        <v>1482</v>
      </c>
      <c r="K27">
        <v>2022</v>
      </c>
      <c r="L27">
        <v>2</v>
      </c>
      <c r="M27">
        <v>19</v>
      </c>
      <c r="N27" t="s">
        <v>29</v>
      </c>
      <c r="O27">
        <v>1</v>
      </c>
      <c r="P27">
        <v>2</v>
      </c>
      <c r="Q27" t="s">
        <v>31</v>
      </c>
      <c r="R27">
        <v>24</v>
      </c>
      <c r="S27">
        <v>36</v>
      </c>
      <c r="T27">
        <v>46053</v>
      </c>
      <c r="U27">
        <v>4500</v>
      </c>
      <c r="V27">
        <v>5.0999999999999996</v>
      </c>
      <c r="W27" t="s">
        <v>31</v>
      </c>
    </row>
    <row r="28" spans="1:23" x14ac:dyDescent="0.3">
      <c r="A28" t="s">
        <v>1479</v>
      </c>
      <c r="B28" t="s">
        <v>2119</v>
      </c>
      <c r="C28">
        <v>29</v>
      </c>
      <c r="D28" t="s">
        <v>41</v>
      </c>
      <c r="E28" t="s">
        <v>71</v>
      </c>
      <c r="F28" t="s">
        <v>153</v>
      </c>
      <c r="G28" t="s">
        <v>63</v>
      </c>
      <c r="H28" t="s">
        <v>310</v>
      </c>
      <c r="I28" t="s">
        <v>27</v>
      </c>
      <c r="J28" t="s">
        <v>1006</v>
      </c>
      <c r="K28">
        <v>2022</v>
      </c>
      <c r="L28">
        <v>2</v>
      </c>
      <c r="M28">
        <v>7</v>
      </c>
      <c r="N28" t="s">
        <v>85</v>
      </c>
      <c r="O28">
        <v>2</v>
      </c>
      <c r="P28">
        <v>2</v>
      </c>
      <c r="Q28" t="s">
        <v>30</v>
      </c>
      <c r="R28">
        <v>3</v>
      </c>
      <c r="S28">
        <v>26</v>
      </c>
      <c r="T28">
        <v>50404</v>
      </c>
      <c r="U28">
        <v>10800</v>
      </c>
      <c r="V28">
        <v>9</v>
      </c>
      <c r="W28" t="s">
        <v>31</v>
      </c>
    </row>
    <row r="29" spans="1:23" x14ac:dyDescent="0.3">
      <c r="A29" t="s">
        <v>1458</v>
      </c>
      <c r="B29" t="s">
        <v>1997</v>
      </c>
      <c r="C29">
        <v>31</v>
      </c>
      <c r="D29" t="s">
        <v>33</v>
      </c>
      <c r="E29" t="s">
        <v>23</v>
      </c>
      <c r="F29" t="s">
        <v>137</v>
      </c>
      <c r="G29" t="s">
        <v>63</v>
      </c>
      <c r="H29" t="s">
        <v>337</v>
      </c>
      <c r="I29" t="s">
        <v>79</v>
      </c>
      <c r="J29" t="s">
        <v>1459</v>
      </c>
      <c r="K29">
        <v>2023</v>
      </c>
      <c r="L29">
        <v>1</v>
      </c>
      <c r="M29">
        <v>5</v>
      </c>
      <c r="N29" t="s">
        <v>85</v>
      </c>
      <c r="O29">
        <v>1</v>
      </c>
      <c r="P29">
        <v>2</v>
      </c>
      <c r="Q29" t="s">
        <v>30</v>
      </c>
      <c r="R29">
        <v>9</v>
      </c>
      <c r="S29">
        <v>47</v>
      </c>
      <c r="T29">
        <v>64834</v>
      </c>
      <c r="U29">
        <v>10800</v>
      </c>
      <c r="V29">
        <v>11.3</v>
      </c>
      <c r="W29" t="s">
        <v>31</v>
      </c>
    </row>
    <row r="30" spans="1:23" x14ac:dyDescent="0.3">
      <c r="A30" t="s">
        <v>1439</v>
      </c>
      <c r="B30" t="s">
        <v>2010</v>
      </c>
      <c r="C30">
        <v>41</v>
      </c>
      <c r="D30" t="s">
        <v>41</v>
      </c>
      <c r="E30" t="s">
        <v>71</v>
      </c>
      <c r="F30" t="s">
        <v>137</v>
      </c>
      <c r="G30" t="s">
        <v>63</v>
      </c>
      <c r="H30" t="s">
        <v>337</v>
      </c>
      <c r="I30" t="s">
        <v>27</v>
      </c>
      <c r="J30" t="s">
        <v>1440</v>
      </c>
      <c r="K30">
        <v>2022</v>
      </c>
      <c r="L30">
        <v>2</v>
      </c>
      <c r="M30">
        <v>11</v>
      </c>
      <c r="N30" t="s">
        <v>29</v>
      </c>
      <c r="O30">
        <v>4</v>
      </c>
      <c r="P30">
        <v>1</v>
      </c>
      <c r="Q30" t="s">
        <v>31</v>
      </c>
      <c r="R30">
        <v>11</v>
      </c>
      <c r="S30">
        <v>22</v>
      </c>
      <c r="T30">
        <v>37163</v>
      </c>
      <c r="U30">
        <v>4100</v>
      </c>
      <c r="V30">
        <v>8.4</v>
      </c>
      <c r="W30" t="s">
        <v>31</v>
      </c>
    </row>
    <row r="31" spans="1:23" x14ac:dyDescent="0.3">
      <c r="A31" t="s">
        <v>1405</v>
      </c>
      <c r="B31" t="s">
        <v>1832</v>
      </c>
      <c r="C31">
        <v>33</v>
      </c>
      <c r="D31" t="s">
        <v>41</v>
      </c>
      <c r="E31" t="s">
        <v>61</v>
      </c>
      <c r="F31" t="s">
        <v>153</v>
      </c>
      <c r="G31" t="s">
        <v>63</v>
      </c>
      <c r="H31" t="s">
        <v>225</v>
      </c>
      <c r="I31" t="s">
        <v>27</v>
      </c>
      <c r="J31" t="s">
        <v>1406</v>
      </c>
      <c r="K31">
        <v>2022</v>
      </c>
      <c r="L31">
        <v>2</v>
      </c>
      <c r="M31">
        <v>10</v>
      </c>
      <c r="N31" t="s">
        <v>29</v>
      </c>
      <c r="O31">
        <v>3</v>
      </c>
      <c r="P31">
        <v>1</v>
      </c>
      <c r="Q31" t="s">
        <v>30</v>
      </c>
      <c r="R31">
        <v>18</v>
      </c>
      <c r="S31">
        <v>17</v>
      </c>
      <c r="T31">
        <v>63535</v>
      </c>
      <c r="U31">
        <v>8500</v>
      </c>
      <c r="V31">
        <v>6.4</v>
      </c>
      <c r="W31" t="s">
        <v>31</v>
      </c>
    </row>
    <row r="32" spans="1:23" x14ac:dyDescent="0.3">
      <c r="A32" t="s">
        <v>1390</v>
      </c>
      <c r="B32" t="s">
        <v>1815</v>
      </c>
      <c r="C32">
        <v>50</v>
      </c>
      <c r="D32" t="s">
        <v>33</v>
      </c>
      <c r="E32" t="s">
        <v>71</v>
      </c>
      <c r="F32" t="s">
        <v>42</v>
      </c>
      <c r="G32" t="s">
        <v>63</v>
      </c>
      <c r="H32" t="s">
        <v>310</v>
      </c>
      <c r="I32" t="s">
        <v>27</v>
      </c>
      <c r="J32" t="s">
        <v>1391</v>
      </c>
      <c r="K32">
        <v>2022</v>
      </c>
      <c r="L32">
        <v>2</v>
      </c>
      <c r="M32">
        <v>20</v>
      </c>
      <c r="N32" t="s">
        <v>98</v>
      </c>
      <c r="O32">
        <v>1</v>
      </c>
      <c r="P32">
        <v>1</v>
      </c>
      <c r="Q32" t="s">
        <v>31</v>
      </c>
      <c r="R32">
        <v>8</v>
      </c>
      <c r="S32">
        <v>6</v>
      </c>
      <c r="T32">
        <v>46635</v>
      </c>
      <c r="U32">
        <v>2600</v>
      </c>
      <c r="V32">
        <v>10.5</v>
      </c>
      <c r="W32" t="s">
        <v>31</v>
      </c>
    </row>
    <row r="33" spans="1:23" x14ac:dyDescent="0.3">
      <c r="A33" t="s">
        <v>1338</v>
      </c>
      <c r="B33" t="s">
        <v>1930</v>
      </c>
      <c r="C33">
        <v>36</v>
      </c>
      <c r="D33" t="s">
        <v>41</v>
      </c>
      <c r="E33" t="s">
        <v>34</v>
      </c>
      <c r="F33" t="s">
        <v>42</v>
      </c>
      <c r="G33" t="s">
        <v>63</v>
      </c>
      <c r="H33" t="s">
        <v>225</v>
      </c>
      <c r="I33" t="s">
        <v>27</v>
      </c>
      <c r="J33" t="s">
        <v>1339</v>
      </c>
      <c r="K33">
        <v>2023</v>
      </c>
      <c r="L33">
        <v>1</v>
      </c>
      <c r="M33">
        <v>10</v>
      </c>
      <c r="N33" t="s">
        <v>29</v>
      </c>
      <c r="O33">
        <v>1</v>
      </c>
      <c r="P33">
        <v>1</v>
      </c>
      <c r="Q33" t="s">
        <v>30</v>
      </c>
      <c r="R33">
        <v>4</v>
      </c>
      <c r="S33">
        <v>15</v>
      </c>
      <c r="T33">
        <v>64686</v>
      </c>
      <c r="U33">
        <v>8500</v>
      </c>
      <c r="V33">
        <v>7.3</v>
      </c>
      <c r="W33" t="s">
        <v>31</v>
      </c>
    </row>
    <row r="34" spans="1:23" x14ac:dyDescent="0.3">
      <c r="A34" t="s">
        <v>1325</v>
      </c>
      <c r="B34" t="s">
        <v>1964</v>
      </c>
      <c r="C34">
        <v>41</v>
      </c>
      <c r="D34" t="s">
        <v>41</v>
      </c>
      <c r="E34" t="s">
        <v>61</v>
      </c>
      <c r="F34" t="s">
        <v>35</v>
      </c>
      <c r="G34" t="s">
        <v>63</v>
      </c>
      <c r="H34" t="s">
        <v>225</v>
      </c>
      <c r="I34" t="s">
        <v>27</v>
      </c>
      <c r="J34" t="s">
        <v>775</v>
      </c>
      <c r="K34">
        <v>2023</v>
      </c>
      <c r="L34">
        <v>1</v>
      </c>
      <c r="M34">
        <v>13</v>
      </c>
      <c r="N34" t="s">
        <v>98</v>
      </c>
      <c r="O34">
        <v>1</v>
      </c>
      <c r="P34">
        <v>5</v>
      </c>
      <c r="Q34" t="s">
        <v>31</v>
      </c>
      <c r="R34">
        <v>3</v>
      </c>
      <c r="S34">
        <v>18</v>
      </c>
      <c r="T34">
        <v>42704</v>
      </c>
      <c r="U34">
        <v>3400</v>
      </c>
      <c r="V34">
        <v>11</v>
      </c>
      <c r="W34" t="s">
        <v>31</v>
      </c>
    </row>
    <row r="35" spans="1:23" x14ac:dyDescent="0.3">
      <c r="A35" t="s">
        <v>1291</v>
      </c>
      <c r="B35" t="s">
        <v>2140</v>
      </c>
      <c r="C35">
        <v>38</v>
      </c>
      <c r="D35" t="s">
        <v>33</v>
      </c>
      <c r="E35" t="s">
        <v>71</v>
      </c>
      <c r="F35" t="s">
        <v>57</v>
      </c>
      <c r="G35" t="s">
        <v>63</v>
      </c>
      <c r="H35" t="s">
        <v>337</v>
      </c>
      <c r="I35" t="s">
        <v>27</v>
      </c>
      <c r="J35" t="s">
        <v>331</v>
      </c>
      <c r="K35">
        <v>2023</v>
      </c>
      <c r="L35">
        <v>1</v>
      </c>
      <c r="M35">
        <v>13</v>
      </c>
      <c r="N35" t="s">
        <v>39</v>
      </c>
      <c r="O35">
        <v>4</v>
      </c>
      <c r="P35">
        <v>2</v>
      </c>
      <c r="Q35" t="s">
        <v>31</v>
      </c>
      <c r="R35">
        <v>7</v>
      </c>
      <c r="S35">
        <v>58</v>
      </c>
      <c r="T35">
        <v>35571</v>
      </c>
      <c r="U35">
        <v>900</v>
      </c>
      <c r="V35">
        <v>11.9</v>
      </c>
      <c r="W35" t="s">
        <v>31</v>
      </c>
    </row>
    <row r="36" spans="1:23" x14ac:dyDescent="0.3">
      <c r="A36" t="s">
        <v>1245</v>
      </c>
      <c r="B36" t="s">
        <v>1854</v>
      </c>
      <c r="C36">
        <v>37</v>
      </c>
      <c r="D36" t="s">
        <v>33</v>
      </c>
      <c r="E36" t="s">
        <v>34</v>
      </c>
      <c r="F36" t="s">
        <v>153</v>
      </c>
      <c r="G36" t="s">
        <v>63</v>
      </c>
      <c r="H36" t="s">
        <v>310</v>
      </c>
      <c r="I36" t="s">
        <v>27</v>
      </c>
      <c r="J36" t="s">
        <v>1246</v>
      </c>
      <c r="K36">
        <v>2021</v>
      </c>
      <c r="L36">
        <v>3</v>
      </c>
      <c r="M36">
        <v>13</v>
      </c>
      <c r="N36" t="s">
        <v>29</v>
      </c>
      <c r="O36">
        <v>3</v>
      </c>
      <c r="P36">
        <v>1</v>
      </c>
      <c r="Q36" t="s">
        <v>30</v>
      </c>
      <c r="R36">
        <v>3</v>
      </c>
      <c r="S36">
        <v>38</v>
      </c>
      <c r="T36">
        <v>47060</v>
      </c>
      <c r="U36">
        <v>4900</v>
      </c>
      <c r="V36">
        <v>8.1</v>
      </c>
      <c r="W36" t="s">
        <v>31</v>
      </c>
    </row>
    <row r="37" spans="1:23" x14ac:dyDescent="0.3">
      <c r="A37" t="s">
        <v>1242</v>
      </c>
      <c r="B37" t="s">
        <v>2079</v>
      </c>
      <c r="C37">
        <v>32</v>
      </c>
      <c r="D37" t="s">
        <v>41</v>
      </c>
      <c r="E37" t="s">
        <v>61</v>
      </c>
      <c r="F37" t="s">
        <v>24</v>
      </c>
      <c r="G37" t="s">
        <v>63</v>
      </c>
      <c r="H37" t="s">
        <v>225</v>
      </c>
      <c r="I37" t="s">
        <v>27</v>
      </c>
      <c r="J37" t="s">
        <v>1142</v>
      </c>
      <c r="K37">
        <v>2024</v>
      </c>
      <c r="L37">
        <v>0</v>
      </c>
      <c r="M37">
        <v>7</v>
      </c>
      <c r="N37" t="s">
        <v>98</v>
      </c>
      <c r="O37">
        <v>2</v>
      </c>
      <c r="P37">
        <v>5</v>
      </c>
      <c r="Q37" t="s">
        <v>31</v>
      </c>
      <c r="R37">
        <v>8</v>
      </c>
      <c r="S37">
        <v>27</v>
      </c>
      <c r="T37">
        <v>59107</v>
      </c>
      <c r="U37">
        <v>4700</v>
      </c>
      <c r="V37">
        <v>11.1</v>
      </c>
      <c r="W37" t="s">
        <v>31</v>
      </c>
    </row>
    <row r="38" spans="1:23" x14ac:dyDescent="0.3">
      <c r="A38" t="s">
        <v>1162</v>
      </c>
      <c r="B38" t="s">
        <v>1982</v>
      </c>
      <c r="C38">
        <v>29</v>
      </c>
      <c r="D38" t="s">
        <v>41</v>
      </c>
      <c r="E38" t="s">
        <v>71</v>
      </c>
      <c r="F38" t="s">
        <v>137</v>
      </c>
      <c r="G38" t="s">
        <v>63</v>
      </c>
      <c r="H38" t="s">
        <v>64</v>
      </c>
      <c r="I38" t="s">
        <v>27</v>
      </c>
      <c r="J38" t="s">
        <v>1163</v>
      </c>
      <c r="K38">
        <v>2024</v>
      </c>
      <c r="L38">
        <v>0</v>
      </c>
      <c r="M38">
        <v>4</v>
      </c>
      <c r="N38" t="s">
        <v>98</v>
      </c>
      <c r="O38">
        <v>4</v>
      </c>
      <c r="P38">
        <v>4</v>
      </c>
      <c r="Q38" t="s">
        <v>30</v>
      </c>
      <c r="R38">
        <v>18</v>
      </c>
      <c r="S38">
        <v>55</v>
      </c>
      <c r="T38">
        <v>58513</v>
      </c>
      <c r="U38">
        <v>4900</v>
      </c>
      <c r="V38">
        <v>12.9</v>
      </c>
      <c r="W38" t="s">
        <v>31</v>
      </c>
    </row>
    <row r="39" spans="1:23" x14ac:dyDescent="0.3">
      <c r="A39" t="s">
        <v>1153</v>
      </c>
      <c r="B39" t="s">
        <v>1914</v>
      </c>
      <c r="C39">
        <v>30</v>
      </c>
      <c r="D39" t="s">
        <v>33</v>
      </c>
      <c r="E39" t="s">
        <v>34</v>
      </c>
      <c r="F39" t="s">
        <v>57</v>
      </c>
      <c r="G39" t="s">
        <v>63</v>
      </c>
      <c r="H39" t="s">
        <v>337</v>
      </c>
      <c r="I39" t="s">
        <v>27</v>
      </c>
      <c r="J39" t="s">
        <v>1154</v>
      </c>
      <c r="K39">
        <v>2022</v>
      </c>
      <c r="L39">
        <v>2</v>
      </c>
      <c r="M39">
        <v>3</v>
      </c>
      <c r="N39" t="s">
        <v>98</v>
      </c>
      <c r="O39">
        <v>3</v>
      </c>
      <c r="P39">
        <v>5</v>
      </c>
      <c r="Q39" t="s">
        <v>30</v>
      </c>
      <c r="R39">
        <v>15</v>
      </c>
      <c r="S39">
        <v>23</v>
      </c>
      <c r="T39">
        <v>52636</v>
      </c>
      <c r="U39">
        <v>4200</v>
      </c>
      <c r="V39">
        <v>5.7</v>
      </c>
      <c r="W39" t="s">
        <v>31</v>
      </c>
    </row>
    <row r="40" spans="1:23" x14ac:dyDescent="0.3">
      <c r="A40" t="s">
        <v>1141</v>
      </c>
      <c r="B40" t="s">
        <v>2137</v>
      </c>
      <c r="C40">
        <v>43</v>
      </c>
      <c r="D40" t="s">
        <v>22</v>
      </c>
      <c r="E40" t="s">
        <v>34</v>
      </c>
      <c r="F40" t="s">
        <v>57</v>
      </c>
      <c r="G40" t="s">
        <v>63</v>
      </c>
      <c r="H40" t="s">
        <v>64</v>
      </c>
      <c r="I40" t="s">
        <v>27</v>
      </c>
      <c r="J40" t="s">
        <v>1142</v>
      </c>
      <c r="K40">
        <v>2024</v>
      </c>
      <c r="L40">
        <v>0</v>
      </c>
      <c r="M40">
        <v>19</v>
      </c>
      <c r="N40" t="s">
        <v>98</v>
      </c>
      <c r="O40">
        <v>5</v>
      </c>
      <c r="P40">
        <v>4</v>
      </c>
      <c r="Q40" t="s">
        <v>31</v>
      </c>
      <c r="R40">
        <v>7</v>
      </c>
      <c r="S40">
        <v>56</v>
      </c>
      <c r="T40">
        <v>39666</v>
      </c>
      <c r="U40">
        <v>3100</v>
      </c>
      <c r="V40">
        <v>3.1</v>
      </c>
      <c r="W40" t="s">
        <v>31</v>
      </c>
    </row>
    <row r="41" spans="1:23" x14ac:dyDescent="0.3">
      <c r="A41" t="s">
        <v>1136</v>
      </c>
      <c r="B41" t="s">
        <v>2136</v>
      </c>
      <c r="C41">
        <v>42</v>
      </c>
      <c r="D41" t="s">
        <v>41</v>
      </c>
      <c r="E41" t="s">
        <v>71</v>
      </c>
      <c r="F41" t="s">
        <v>42</v>
      </c>
      <c r="G41" t="s">
        <v>63</v>
      </c>
      <c r="H41" t="s">
        <v>64</v>
      </c>
      <c r="I41" t="s">
        <v>27</v>
      </c>
      <c r="J41" t="s">
        <v>1137</v>
      </c>
      <c r="K41">
        <v>2021</v>
      </c>
      <c r="L41">
        <v>3</v>
      </c>
      <c r="M41">
        <v>12</v>
      </c>
      <c r="N41" t="s">
        <v>29</v>
      </c>
      <c r="O41">
        <v>2</v>
      </c>
      <c r="P41">
        <v>1</v>
      </c>
      <c r="Q41" t="s">
        <v>31</v>
      </c>
      <c r="R41">
        <v>21</v>
      </c>
      <c r="S41">
        <v>21</v>
      </c>
      <c r="T41">
        <v>39973</v>
      </c>
      <c r="U41">
        <v>4900</v>
      </c>
      <c r="V41">
        <v>3.6</v>
      </c>
      <c r="W41" t="s">
        <v>31</v>
      </c>
    </row>
    <row r="42" spans="1:23" x14ac:dyDescent="0.3">
      <c r="A42" t="s">
        <v>152</v>
      </c>
      <c r="B42" t="s">
        <v>1833</v>
      </c>
      <c r="C42">
        <v>47</v>
      </c>
      <c r="D42" t="s">
        <v>41</v>
      </c>
      <c r="E42" t="s">
        <v>71</v>
      </c>
      <c r="F42" t="s">
        <v>153</v>
      </c>
      <c r="G42" t="s">
        <v>63</v>
      </c>
      <c r="H42" t="s">
        <v>64</v>
      </c>
      <c r="I42" t="s">
        <v>27</v>
      </c>
      <c r="J42" t="s">
        <v>154</v>
      </c>
      <c r="K42">
        <v>2023</v>
      </c>
      <c r="L42">
        <v>1</v>
      </c>
      <c r="M42">
        <v>17</v>
      </c>
      <c r="N42" t="s">
        <v>29</v>
      </c>
      <c r="O42">
        <v>1</v>
      </c>
      <c r="P42">
        <v>5</v>
      </c>
      <c r="Q42" t="s">
        <v>30</v>
      </c>
      <c r="R42">
        <v>15</v>
      </c>
      <c r="S42">
        <v>33</v>
      </c>
      <c r="T42">
        <v>58223</v>
      </c>
      <c r="U42">
        <v>6900</v>
      </c>
      <c r="V42">
        <v>3.2</v>
      </c>
      <c r="W42" t="s">
        <v>31</v>
      </c>
    </row>
    <row r="43" spans="1:23" x14ac:dyDescent="0.3">
      <c r="A43" t="s">
        <v>1095</v>
      </c>
      <c r="B43" t="s">
        <v>2126</v>
      </c>
      <c r="C43">
        <v>42</v>
      </c>
      <c r="D43" t="s">
        <v>22</v>
      </c>
      <c r="E43" t="s">
        <v>71</v>
      </c>
      <c r="F43" t="s">
        <v>24</v>
      </c>
      <c r="G43" t="s">
        <v>63</v>
      </c>
      <c r="H43" t="s">
        <v>64</v>
      </c>
      <c r="I43" t="s">
        <v>27</v>
      </c>
      <c r="J43" t="s">
        <v>1096</v>
      </c>
      <c r="K43">
        <v>2023</v>
      </c>
      <c r="L43">
        <v>1</v>
      </c>
      <c r="M43">
        <v>13</v>
      </c>
      <c r="N43" t="s">
        <v>29</v>
      </c>
      <c r="O43">
        <v>2</v>
      </c>
      <c r="P43">
        <v>2</v>
      </c>
      <c r="Q43" t="s">
        <v>31</v>
      </c>
      <c r="R43">
        <v>4</v>
      </c>
      <c r="S43">
        <v>35</v>
      </c>
      <c r="T43">
        <v>63533</v>
      </c>
      <c r="U43">
        <v>6600</v>
      </c>
      <c r="V43">
        <v>13.8</v>
      </c>
      <c r="W43" t="s">
        <v>30</v>
      </c>
    </row>
    <row r="44" spans="1:23" x14ac:dyDescent="0.3">
      <c r="A44" t="s">
        <v>978</v>
      </c>
      <c r="B44" t="s">
        <v>1875</v>
      </c>
      <c r="C44">
        <v>37</v>
      </c>
      <c r="D44" t="s">
        <v>41</v>
      </c>
      <c r="E44" t="s">
        <v>34</v>
      </c>
      <c r="F44" t="s">
        <v>42</v>
      </c>
      <c r="G44" t="s">
        <v>63</v>
      </c>
      <c r="H44" t="s">
        <v>310</v>
      </c>
      <c r="I44" t="s">
        <v>27</v>
      </c>
      <c r="J44" t="s">
        <v>979</v>
      </c>
      <c r="K44">
        <v>2024</v>
      </c>
      <c r="L44">
        <v>0</v>
      </c>
      <c r="M44">
        <v>12</v>
      </c>
      <c r="N44" t="s">
        <v>39</v>
      </c>
      <c r="O44">
        <v>1</v>
      </c>
      <c r="P44">
        <v>3</v>
      </c>
      <c r="Q44" t="s">
        <v>30</v>
      </c>
      <c r="R44">
        <v>13</v>
      </c>
      <c r="S44">
        <v>79</v>
      </c>
      <c r="T44">
        <v>44919</v>
      </c>
      <c r="U44">
        <v>1500</v>
      </c>
      <c r="V44">
        <v>6.5</v>
      </c>
      <c r="W44" t="s">
        <v>31</v>
      </c>
    </row>
    <row r="45" spans="1:23" x14ac:dyDescent="0.3">
      <c r="A45" t="s">
        <v>967</v>
      </c>
      <c r="B45" t="s">
        <v>1813</v>
      </c>
      <c r="C45">
        <v>36</v>
      </c>
      <c r="D45" t="s">
        <v>41</v>
      </c>
      <c r="E45" t="s">
        <v>71</v>
      </c>
      <c r="F45" t="s">
        <v>153</v>
      </c>
      <c r="G45" t="s">
        <v>63</v>
      </c>
      <c r="H45" t="s">
        <v>310</v>
      </c>
      <c r="I45" t="s">
        <v>79</v>
      </c>
      <c r="J45" t="s">
        <v>968</v>
      </c>
      <c r="K45">
        <v>2024</v>
      </c>
      <c r="L45">
        <v>0</v>
      </c>
      <c r="M45">
        <v>7</v>
      </c>
      <c r="N45" t="s">
        <v>29</v>
      </c>
      <c r="O45">
        <v>5</v>
      </c>
      <c r="P45">
        <v>1</v>
      </c>
      <c r="Q45" t="s">
        <v>31</v>
      </c>
      <c r="R45">
        <v>4</v>
      </c>
      <c r="S45">
        <v>66</v>
      </c>
      <c r="T45">
        <v>46681</v>
      </c>
      <c r="U45">
        <v>5700</v>
      </c>
      <c r="V45">
        <v>4.7</v>
      </c>
      <c r="W45" t="s">
        <v>30</v>
      </c>
    </row>
    <row r="46" spans="1:23" x14ac:dyDescent="0.3">
      <c r="A46" t="s">
        <v>961</v>
      </c>
      <c r="B46" t="s">
        <v>1921</v>
      </c>
      <c r="C46">
        <v>38</v>
      </c>
      <c r="D46" t="s">
        <v>33</v>
      </c>
      <c r="E46" t="s">
        <v>71</v>
      </c>
      <c r="F46" t="s">
        <v>57</v>
      </c>
      <c r="G46" t="s">
        <v>63</v>
      </c>
      <c r="H46" t="s">
        <v>64</v>
      </c>
      <c r="I46" t="s">
        <v>27</v>
      </c>
      <c r="J46" t="s">
        <v>962</v>
      </c>
      <c r="K46">
        <v>2023</v>
      </c>
      <c r="L46">
        <v>1</v>
      </c>
      <c r="M46">
        <v>11</v>
      </c>
      <c r="N46" t="s">
        <v>29</v>
      </c>
      <c r="O46">
        <v>4</v>
      </c>
      <c r="P46">
        <v>3</v>
      </c>
      <c r="Q46" t="s">
        <v>30</v>
      </c>
      <c r="R46">
        <v>24</v>
      </c>
      <c r="S46">
        <v>29</v>
      </c>
      <c r="T46">
        <v>62193</v>
      </c>
      <c r="U46">
        <v>6100</v>
      </c>
      <c r="V46">
        <v>13.2</v>
      </c>
      <c r="W46" t="s">
        <v>31</v>
      </c>
    </row>
    <row r="47" spans="1:23" x14ac:dyDescent="0.3">
      <c r="A47" t="s">
        <v>917</v>
      </c>
      <c r="B47" t="s">
        <v>1849</v>
      </c>
      <c r="C47">
        <v>42</v>
      </c>
      <c r="D47" t="s">
        <v>33</v>
      </c>
      <c r="E47" t="s">
        <v>34</v>
      </c>
      <c r="F47" t="s">
        <v>57</v>
      </c>
      <c r="G47" t="s">
        <v>63</v>
      </c>
      <c r="H47" t="s">
        <v>310</v>
      </c>
      <c r="I47" t="s">
        <v>27</v>
      </c>
      <c r="J47" t="s">
        <v>918</v>
      </c>
      <c r="K47">
        <v>2021</v>
      </c>
      <c r="L47">
        <v>3</v>
      </c>
      <c r="M47">
        <v>14</v>
      </c>
      <c r="N47" t="s">
        <v>85</v>
      </c>
      <c r="O47">
        <v>2</v>
      </c>
      <c r="P47">
        <v>5</v>
      </c>
      <c r="Q47" t="s">
        <v>30</v>
      </c>
      <c r="R47">
        <v>10</v>
      </c>
      <c r="S47">
        <v>75</v>
      </c>
      <c r="T47">
        <v>45489</v>
      </c>
      <c r="U47">
        <v>7500</v>
      </c>
      <c r="V47">
        <v>8.9</v>
      </c>
      <c r="W47" t="s">
        <v>30</v>
      </c>
    </row>
    <row r="48" spans="1:23" x14ac:dyDescent="0.3">
      <c r="A48" t="s">
        <v>907</v>
      </c>
      <c r="B48" t="s">
        <v>2044</v>
      </c>
      <c r="C48">
        <v>43</v>
      </c>
      <c r="D48" t="s">
        <v>41</v>
      </c>
      <c r="E48" t="s">
        <v>56</v>
      </c>
      <c r="F48" t="s">
        <v>57</v>
      </c>
      <c r="G48" t="s">
        <v>63</v>
      </c>
      <c r="H48" t="s">
        <v>310</v>
      </c>
      <c r="I48" t="s">
        <v>27</v>
      </c>
      <c r="J48" t="s">
        <v>908</v>
      </c>
      <c r="K48">
        <v>2022</v>
      </c>
      <c r="L48">
        <v>2</v>
      </c>
      <c r="M48">
        <v>16</v>
      </c>
      <c r="N48" t="s">
        <v>29</v>
      </c>
      <c r="O48">
        <v>4</v>
      </c>
      <c r="P48">
        <v>4</v>
      </c>
      <c r="Q48" t="s">
        <v>31</v>
      </c>
      <c r="R48">
        <v>10</v>
      </c>
      <c r="S48">
        <v>57</v>
      </c>
      <c r="T48">
        <v>41814</v>
      </c>
      <c r="U48">
        <v>5000</v>
      </c>
      <c r="V48">
        <v>3.3</v>
      </c>
      <c r="W48" t="s">
        <v>30</v>
      </c>
    </row>
    <row r="49" spans="1:23" x14ac:dyDescent="0.3">
      <c r="A49" t="s">
        <v>840</v>
      </c>
      <c r="B49" t="s">
        <v>1887</v>
      </c>
      <c r="C49">
        <v>37</v>
      </c>
      <c r="D49" t="s">
        <v>33</v>
      </c>
      <c r="E49" t="s">
        <v>34</v>
      </c>
      <c r="F49" t="s">
        <v>137</v>
      </c>
      <c r="G49" t="s">
        <v>63</v>
      </c>
      <c r="H49" t="s">
        <v>337</v>
      </c>
      <c r="I49" t="s">
        <v>27</v>
      </c>
      <c r="J49" t="s">
        <v>841</v>
      </c>
      <c r="K49">
        <v>2024</v>
      </c>
      <c r="L49">
        <v>0</v>
      </c>
      <c r="M49">
        <v>13</v>
      </c>
      <c r="N49" t="s">
        <v>98</v>
      </c>
      <c r="O49">
        <v>3</v>
      </c>
      <c r="P49">
        <v>4</v>
      </c>
      <c r="Q49" t="s">
        <v>31</v>
      </c>
      <c r="R49">
        <v>19</v>
      </c>
      <c r="S49">
        <v>1</v>
      </c>
      <c r="T49">
        <v>38534</v>
      </c>
      <c r="U49">
        <v>2300</v>
      </c>
      <c r="V49">
        <v>7.1</v>
      </c>
      <c r="W49" t="s">
        <v>30</v>
      </c>
    </row>
    <row r="50" spans="1:23" x14ac:dyDescent="0.3">
      <c r="A50" t="s">
        <v>819</v>
      </c>
      <c r="B50" t="s">
        <v>1917</v>
      </c>
      <c r="C50">
        <v>42</v>
      </c>
      <c r="D50" t="s">
        <v>22</v>
      </c>
      <c r="E50" t="s">
        <v>34</v>
      </c>
      <c r="F50" t="s">
        <v>57</v>
      </c>
      <c r="G50" t="s">
        <v>63</v>
      </c>
      <c r="H50" t="s">
        <v>64</v>
      </c>
      <c r="I50" t="s">
        <v>65</v>
      </c>
      <c r="J50" t="s">
        <v>164</v>
      </c>
      <c r="K50">
        <v>2022</v>
      </c>
      <c r="L50">
        <v>2</v>
      </c>
      <c r="M50">
        <v>15</v>
      </c>
      <c r="N50" t="s">
        <v>29</v>
      </c>
      <c r="O50">
        <v>5</v>
      </c>
      <c r="P50">
        <v>3</v>
      </c>
      <c r="Q50" t="s">
        <v>31</v>
      </c>
      <c r="R50">
        <v>11</v>
      </c>
      <c r="S50">
        <v>69</v>
      </c>
      <c r="T50">
        <v>39221</v>
      </c>
      <c r="U50">
        <v>5000</v>
      </c>
      <c r="V50">
        <v>4.0999999999999996</v>
      </c>
      <c r="W50" t="s">
        <v>31</v>
      </c>
    </row>
    <row r="51" spans="1:23" x14ac:dyDescent="0.3">
      <c r="A51" t="s">
        <v>784</v>
      </c>
      <c r="B51" t="s">
        <v>1884</v>
      </c>
      <c r="C51">
        <v>35</v>
      </c>
      <c r="D51" t="s">
        <v>41</v>
      </c>
      <c r="E51" t="s">
        <v>71</v>
      </c>
      <c r="F51" t="s">
        <v>24</v>
      </c>
      <c r="G51" t="s">
        <v>63</v>
      </c>
      <c r="H51" t="s">
        <v>225</v>
      </c>
      <c r="I51" t="s">
        <v>27</v>
      </c>
      <c r="J51" t="s">
        <v>785</v>
      </c>
      <c r="K51">
        <v>2023</v>
      </c>
      <c r="L51">
        <v>1</v>
      </c>
      <c r="M51">
        <v>5</v>
      </c>
      <c r="N51" t="s">
        <v>29</v>
      </c>
      <c r="O51">
        <v>4</v>
      </c>
      <c r="P51">
        <v>2</v>
      </c>
      <c r="Q51" t="s">
        <v>31</v>
      </c>
      <c r="R51">
        <v>4</v>
      </c>
      <c r="S51">
        <v>24</v>
      </c>
      <c r="T51">
        <v>43430</v>
      </c>
      <c r="U51">
        <v>4800</v>
      </c>
      <c r="V51">
        <v>6.4</v>
      </c>
      <c r="W51" t="s">
        <v>31</v>
      </c>
    </row>
    <row r="52" spans="1:23" x14ac:dyDescent="0.3">
      <c r="A52" t="s">
        <v>740</v>
      </c>
      <c r="B52" t="s">
        <v>2044</v>
      </c>
      <c r="C52">
        <v>33</v>
      </c>
      <c r="D52" t="s">
        <v>41</v>
      </c>
      <c r="E52" t="s">
        <v>71</v>
      </c>
      <c r="F52" t="s">
        <v>35</v>
      </c>
      <c r="G52" t="s">
        <v>63</v>
      </c>
      <c r="H52" t="s">
        <v>310</v>
      </c>
      <c r="I52" t="s">
        <v>65</v>
      </c>
      <c r="J52" t="s">
        <v>741</v>
      </c>
      <c r="K52">
        <v>2021</v>
      </c>
      <c r="L52">
        <v>3</v>
      </c>
      <c r="M52">
        <v>5</v>
      </c>
      <c r="N52" t="s">
        <v>85</v>
      </c>
      <c r="O52">
        <v>5</v>
      </c>
      <c r="P52">
        <v>4</v>
      </c>
      <c r="Q52" t="s">
        <v>31</v>
      </c>
      <c r="R52">
        <v>22</v>
      </c>
      <c r="S52">
        <v>8</v>
      </c>
      <c r="T52">
        <v>64000</v>
      </c>
      <c r="U52">
        <v>15000</v>
      </c>
      <c r="V52">
        <v>6.7</v>
      </c>
      <c r="W52" t="s">
        <v>31</v>
      </c>
    </row>
    <row r="53" spans="1:23" x14ac:dyDescent="0.3">
      <c r="A53" t="s">
        <v>722</v>
      </c>
      <c r="B53" t="s">
        <v>1828</v>
      </c>
      <c r="C53">
        <v>31</v>
      </c>
      <c r="D53" t="s">
        <v>41</v>
      </c>
      <c r="E53" t="s">
        <v>34</v>
      </c>
      <c r="F53" t="s">
        <v>47</v>
      </c>
      <c r="G53" t="s">
        <v>63</v>
      </c>
      <c r="H53" t="s">
        <v>225</v>
      </c>
      <c r="I53" t="s">
        <v>27</v>
      </c>
      <c r="J53" t="s">
        <v>723</v>
      </c>
      <c r="K53">
        <v>2024</v>
      </c>
      <c r="L53">
        <v>0</v>
      </c>
      <c r="M53">
        <v>7</v>
      </c>
      <c r="N53" t="s">
        <v>98</v>
      </c>
      <c r="O53">
        <v>1</v>
      </c>
      <c r="P53">
        <v>5</v>
      </c>
      <c r="Q53" t="s">
        <v>31</v>
      </c>
      <c r="R53">
        <v>19</v>
      </c>
      <c r="S53">
        <v>32</v>
      </c>
      <c r="T53">
        <v>39202</v>
      </c>
      <c r="U53">
        <v>2300</v>
      </c>
      <c r="V53">
        <v>14.2</v>
      </c>
      <c r="W53" t="s">
        <v>31</v>
      </c>
    </row>
    <row r="54" spans="1:23" x14ac:dyDescent="0.3">
      <c r="A54" t="s">
        <v>720</v>
      </c>
      <c r="B54" t="s">
        <v>1993</v>
      </c>
      <c r="C54">
        <v>37</v>
      </c>
      <c r="D54" t="s">
        <v>41</v>
      </c>
      <c r="E54" t="s">
        <v>34</v>
      </c>
      <c r="F54" t="s">
        <v>137</v>
      </c>
      <c r="G54" t="s">
        <v>63</v>
      </c>
      <c r="H54" t="s">
        <v>64</v>
      </c>
      <c r="I54" t="s">
        <v>27</v>
      </c>
      <c r="J54" t="s">
        <v>721</v>
      </c>
      <c r="K54">
        <v>2021</v>
      </c>
      <c r="L54">
        <v>3</v>
      </c>
      <c r="M54">
        <v>12</v>
      </c>
      <c r="N54" t="s">
        <v>29</v>
      </c>
      <c r="O54">
        <v>5</v>
      </c>
      <c r="P54">
        <v>2</v>
      </c>
      <c r="Q54" t="s">
        <v>31</v>
      </c>
      <c r="R54">
        <v>0</v>
      </c>
      <c r="S54">
        <v>25</v>
      </c>
      <c r="T54">
        <v>55101</v>
      </c>
      <c r="U54">
        <v>7400</v>
      </c>
      <c r="V54">
        <v>5.7</v>
      </c>
      <c r="W54" t="s">
        <v>31</v>
      </c>
    </row>
    <row r="55" spans="1:23" x14ac:dyDescent="0.3">
      <c r="A55" t="s">
        <v>712</v>
      </c>
      <c r="B55" t="s">
        <v>1954</v>
      </c>
      <c r="C55">
        <v>37</v>
      </c>
      <c r="D55" t="s">
        <v>33</v>
      </c>
      <c r="E55" t="s">
        <v>71</v>
      </c>
      <c r="F55" t="s">
        <v>57</v>
      </c>
      <c r="G55" t="s">
        <v>63</v>
      </c>
      <c r="H55" t="s">
        <v>225</v>
      </c>
      <c r="I55" t="s">
        <v>27</v>
      </c>
      <c r="J55" t="s">
        <v>713</v>
      </c>
      <c r="K55">
        <v>2023</v>
      </c>
      <c r="L55">
        <v>1</v>
      </c>
      <c r="M55">
        <v>14</v>
      </c>
      <c r="N55" t="s">
        <v>29</v>
      </c>
      <c r="O55">
        <v>5</v>
      </c>
      <c r="P55">
        <v>2</v>
      </c>
      <c r="Q55" t="s">
        <v>31</v>
      </c>
      <c r="R55">
        <v>9</v>
      </c>
      <c r="S55">
        <v>72</v>
      </c>
      <c r="T55">
        <v>48352</v>
      </c>
      <c r="U55">
        <v>6800</v>
      </c>
      <c r="V55">
        <v>3.2</v>
      </c>
      <c r="W55" t="s">
        <v>31</v>
      </c>
    </row>
    <row r="56" spans="1:23" x14ac:dyDescent="0.3">
      <c r="A56" t="s">
        <v>703</v>
      </c>
      <c r="B56" t="s">
        <v>2033</v>
      </c>
      <c r="C56">
        <v>29</v>
      </c>
      <c r="D56" t="s">
        <v>22</v>
      </c>
      <c r="E56" t="s">
        <v>61</v>
      </c>
      <c r="F56" t="s">
        <v>51</v>
      </c>
      <c r="G56" t="s">
        <v>63</v>
      </c>
      <c r="H56" t="s">
        <v>337</v>
      </c>
      <c r="I56" t="s">
        <v>27</v>
      </c>
      <c r="J56" t="s">
        <v>704</v>
      </c>
      <c r="K56">
        <v>2024</v>
      </c>
      <c r="L56">
        <v>0</v>
      </c>
      <c r="M56">
        <v>5</v>
      </c>
      <c r="N56" t="s">
        <v>85</v>
      </c>
      <c r="O56">
        <v>5</v>
      </c>
      <c r="P56">
        <v>3</v>
      </c>
      <c r="Q56" t="s">
        <v>31</v>
      </c>
      <c r="R56">
        <v>2</v>
      </c>
      <c r="S56">
        <v>5</v>
      </c>
      <c r="T56">
        <v>48820</v>
      </c>
      <c r="U56">
        <v>11300</v>
      </c>
      <c r="V56">
        <v>13.7</v>
      </c>
      <c r="W56" t="s">
        <v>31</v>
      </c>
    </row>
    <row r="57" spans="1:23" x14ac:dyDescent="0.3">
      <c r="A57" t="s">
        <v>697</v>
      </c>
      <c r="B57" t="s">
        <v>2031</v>
      </c>
      <c r="C57">
        <v>34</v>
      </c>
      <c r="D57" t="s">
        <v>33</v>
      </c>
      <c r="E57" t="s">
        <v>71</v>
      </c>
      <c r="F57" t="s">
        <v>51</v>
      </c>
      <c r="G57" t="s">
        <v>63</v>
      </c>
      <c r="H57" t="s">
        <v>64</v>
      </c>
      <c r="I57" t="s">
        <v>27</v>
      </c>
      <c r="J57" t="s">
        <v>698</v>
      </c>
      <c r="K57">
        <v>2022</v>
      </c>
      <c r="L57">
        <v>2</v>
      </c>
      <c r="M57">
        <v>10</v>
      </c>
      <c r="N57" t="s">
        <v>98</v>
      </c>
      <c r="O57">
        <v>4</v>
      </c>
      <c r="P57">
        <v>4</v>
      </c>
      <c r="Q57" t="s">
        <v>31</v>
      </c>
      <c r="R57">
        <v>2</v>
      </c>
      <c r="S57">
        <v>11</v>
      </c>
      <c r="T57">
        <v>52028</v>
      </c>
      <c r="U57">
        <v>3100</v>
      </c>
      <c r="V57">
        <v>9.1999999999999993</v>
      </c>
      <c r="W57" t="s">
        <v>31</v>
      </c>
    </row>
    <row r="58" spans="1:23" x14ac:dyDescent="0.3">
      <c r="A58" t="s">
        <v>695</v>
      </c>
      <c r="B58" t="s">
        <v>2030</v>
      </c>
      <c r="C58">
        <v>38</v>
      </c>
      <c r="D58" t="s">
        <v>41</v>
      </c>
      <c r="E58" t="s">
        <v>23</v>
      </c>
      <c r="F58" t="s">
        <v>57</v>
      </c>
      <c r="G58" t="s">
        <v>63</v>
      </c>
      <c r="H58" t="s">
        <v>310</v>
      </c>
      <c r="I58" t="s">
        <v>27</v>
      </c>
      <c r="J58" t="s">
        <v>696</v>
      </c>
      <c r="K58">
        <v>2023</v>
      </c>
      <c r="L58">
        <v>1</v>
      </c>
      <c r="M58">
        <v>10</v>
      </c>
      <c r="N58" t="s">
        <v>98</v>
      </c>
      <c r="O58">
        <v>5</v>
      </c>
      <c r="P58">
        <v>1</v>
      </c>
      <c r="Q58" t="s">
        <v>30</v>
      </c>
      <c r="R58">
        <v>14</v>
      </c>
      <c r="S58">
        <v>43</v>
      </c>
      <c r="T58">
        <v>38618</v>
      </c>
      <c r="U58">
        <v>3100</v>
      </c>
      <c r="V58">
        <v>6.1</v>
      </c>
      <c r="W58" t="s">
        <v>31</v>
      </c>
    </row>
    <row r="59" spans="1:23" x14ac:dyDescent="0.3">
      <c r="A59" t="s">
        <v>688</v>
      </c>
      <c r="B59" t="s">
        <v>2028</v>
      </c>
      <c r="C59">
        <v>26</v>
      </c>
      <c r="D59" t="s">
        <v>33</v>
      </c>
      <c r="E59" t="s">
        <v>61</v>
      </c>
      <c r="F59" t="s">
        <v>24</v>
      </c>
      <c r="G59" t="s">
        <v>63</v>
      </c>
      <c r="H59" t="s">
        <v>337</v>
      </c>
      <c r="I59" t="s">
        <v>27</v>
      </c>
      <c r="J59" t="s">
        <v>689</v>
      </c>
      <c r="K59">
        <v>2022</v>
      </c>
      <c r="L59">
        <v>2</v>
      </c>
      <c r="M59">
        <v>1</v>
      </c>
      <c r="N59" t="s">
        <v>29</v>
      </c>
      <c r="O59">
        <v>2</v>
      </c>
      <c r="P59">
        <v>2</v>
      </c>
      <c r="Q59" t="s">
        <v>31</v>
      </c>
      <c r="R59">
        <v>24</v>
      </c>
      <c r="S59">
        <v>67</v>
      </c>
      <c r="T59">
        <v>50521</v>
      </c>
      <c r="U59">
        <v>6100</v>
      </c>
      <c r="V59">
        <v>4</v>
      </c>
      <c r="W59" t="s">
        <v>31</v>
      </c>
    </row>
    <row r="60" spans="1:23" x14ac:dyDescent="0.3">
      <c r="A60" t="s">
        <v>678</v>
      </c>
      <c r="B60" t="s">
        <v>2024</v>
      </c>
      <c r="C60">
        <v>41</v>
      </c>
      <c r="D60" t="s">
        <v>41</v>
      </c>
      <c r="E60" t="s">
        <v>34</v>
      </c>
      <c r="F60" t="s">
        <v>51</v>
      </c>
      <c r="G60" t="s">
        <v>63</v>
      </c>
      <c r="H60" t="s">
        <v>225</v>
      </c>
      <c r="I60" t="s">
        <v>27</v>
      </c>
      <c r="J60" t="s">
        <v>679</v>
      </c>
      <c r="K60">
        <v>2021</v>
      </c>
      <c r="L60">
        <v>3</v>
      </c>
      <c r="M60">
        <v>11</v>
      </c>
      <c r="N60" t="s">
        <v>29</v>
      </c>
      <c r="O60">
        <v>1</v>
      </c>
      <c r="P60">
        <v>2</v>
      </c>
      <c r="Q60" t="s">
        <v>31</v>
      </c>
      <c r="R60">
        <v>9</v>
      </c>
      <c r="S60">
        <v>24</v>
      </c>
      <c r="T60">
        <v>64257</v>
      </c>
      <c r="U60">
        <v>8900</v>
      </c>
      <c r="V60">
        <v>4.4000000000000004</v>
      </c>
      <c r="W60" t="s">
        <v>31</v>
      </c>
    </row>
    <row r="61" spans="1:23" x14ac:dyDescent="0.3">
      <c r="A61" t="s">
        <v>676</v>
      </c>
      <c r="B61" t="s">
        <v>1850</v>
      </c>
      <c r="C61">
        <v>24</v>
      </c>
      <c r="D61" t="s">
        <v>41</v>
      </c>
      <c r="E61" t="s">
        <v>71</v>
      </c>
      <c r="F61" t="s">
        <v>47</v>
      </c>
      <c r="G61" t="s">
        <v>63</v>
      </c>
      <c r="H61" t="s">
        <v>64</v>
      </c>
      <c r="I61" t="s">
        <v>27</v>
      </c>
      <c r="J61" t="s">
        <v>677</v>
      </c>
      <c r="K61">
        <v>2024</v>
      </c>
      <c r="L61">
        <v>0</v>
      </c>
      <c r="M61">
        <v>1</v>
      </c>
      <c r="N61" t="s">
        <v>29</v>
      </c>
      <c r="O61">
        <v>4</v>
      </c>
      <c r="P61">
        <v>4</v>
      </c>
      <c r="Q61" t="s">
        <v>31</v>
      </c>
      <c r="R61">
        <v>16</v>
      </c>
      <c r="S61">
        <v>75</v>
      </c>
      <c r="T61">
        <v>58366</v>
      </c>
      <c r="U61">
        <v>6800</v>
      </c>
      <c r="V61">
        <v>8.9</v>
      </c>
      <c r="W61" t="s">
        <v>31</v>
      </c>
    </row>
    <row r="62" spans="1:23" x14ac:dyDescent="0.3">
      <c r="A62" t="s">
        <v>672</v>
      </c>
      <c r="B62" t="s">
        <v>1944</v>
      </c>
      <c r="C62">
        <v>42</v>
      </c>
      <c r="D62" t="s">
        <v>41</v>
      </c>
      <c r="E62" t="s">
        <v>34</v>
      </c>
      <c r="F62" t="s">
        <v>35</v>
      </c>
      <c r="G62" t="s">
        <v>63</v>
      </c>
      <c r="H62" t="s">
        <v>310</v>
      </c>
      <c r="I62" t="s">
        <v>27</v>
      </c>
      <c r="J62" t="s">
        <v>673</v>
      </c>
      <c r="K62">
        <v>2024</v>
      </c>
      <c r="L62">
        <v>0</v>
      </c>
      <c r="M62">
        <v>13</v>
      </c>
      <c r="N62" t="s">
        <v>39</v>
      </c>
      <c r="O62">
        <v>2</v>
      </c>
      <c r="P62">
        <v>1</v>
      </c>
      <c r="Q62" t="s">
        <v>31</v>
      </c>
      <c r="R62">
        <v>0</v>
      </c>
      <c r="S62">
        <v>24</v>
      </c>
      <c r="T62">
        <v>61644</v>
      </c>
      <c r="U62">
        <v>1700</v>
      </c>
      <c r="V62">
        <v>11.1</v>
      </c>
      <c r="W62" t="s">
        <v>31</v>
      </c>
    </row>
    <row r="63" spans="1:23" x14ac:dyDescent="0.3">
      <c r="A63" t="s">
        <v>659</v>
      </c>
      <c r="B63" t="s">
        <v>2019</v>
      </c>
      <c r="C63">
        <v>41</v>
      </c>
      <c r="D63" t="s">
        <v>33</v>
      </c>
      <c r="E63" t="s">
        <v>34</v>
      </c>
      <c r="F63" t="s">
        <v>57</v>
      </c>
      <c r="G63" t="s">
        <v>63</v>
      </c>
      <c r="H63" t="s">
        <v>337</v>
      </c>
      <c r="I63" t="s">
        <v>27</v>
      </c>
      <c r="J63" t="s">
        <v>660</v>
      </c>
      <c r="K63">
        <v>2022</v>
      </c>
      <c r="L63">
        <v>2</v>
      </c>
      <c r="M63">
        <v>17</v>
      </c>
      <c r="N63" t="s">
        <v>29</v>
      </c>
      <c r="O63">
        <v>5</v>
      </c>
      <c r="P63">
        <v>1</v>
      </c>
      <c r="Q63" t="s">
        <v>30</v>
      </c>
      <c r="R63">
        <v>10</v>
      </c>
      <c r="S63">
        <v>19</v>
      </c>
      <c r="T63">
        <v>37517</v>
      </c>
      <c r="U63">
        <v>4500</v>
      </c>
      <c r="V63">
        <v>4.0999999999999996</v>
      </c>
      <c r="W63" t="s">
        <v>31</v>
      </c>
    </row>
    <row r="64" spans="1:23" x14ac:dyDescent="0.3">
      <c r="A64" t="s">
        <v>657</v>
      </c>
      <c r="B64" t="s">
        <v>1800</v>
      </c>
      <c r="C64">
        <v>38</v>
      </c>
      <c r="D64" t="s">
        <v>41</v>
      </c>
      <c r="E64" t="s">
        <v>34</v>
      </c>
      <c r="F64" t="s">
        <v>24</v>
      </c>
      <c r="G64" t="s">
        <v>63</v>
      </c>
      <c r="H64" t="s">
        <v>310</v>
      </c>
      <c r="I64" t="s">
        <v>27</v>
      </c>
      <c r="J64" t="s">
        <v>658</v>
      </c>
      <c r="K64">
        <v>2024</v>
      </c>
      <c r="L64">
        <v>0</v>
      </c>
      <c r="M64">
        <v>16</v>
      </c>
      <c r="N64" t="s">
        <v>29</v>
      </c>
      <c r="O64">
        <v>3</v>
      </c>
      <c r="P64">
        <v>2</v>
      </c>
      <c r="Q64" t="s">
        <v>30</v>
      </c>
      <c r="R64">
        <v>5</v>
      </c>
      <c r="S64">
        <v>65</v>
      </c>
      <c r="T64">
        <v>58233</v>
      </c>
      <c r="U64">
        <v>6900</v>
      </c>
      <c r="V64">
        <v>4.3</v>
      </c>
      <c r="W64" t="s">
        <v>31</v>
      </c>
    </row>
    <row r="65" spans="1:23" x14ac:dyDescent="0.3">
      <c r="A65" t="s">
        <v>629</v>
      </c>
      <c r="B65" t="s">
        <v>2010</v>
      </c>
      <c r="C65">
        <v>45</v>
      </c>
      <c r="D65" t="s">
        <v>41</v>
      </c>
      <c r="E65" t="s">
        <v>34</v>
      </c>
      <c r="F65" t="s">
        <v>153</v>
      </c>
      <c r="G65" t="s">
        <v>63</v>
      </c>
      <c r="H65" t="s">
        <v>225</v>
      </c>
      <c r="I65" t="s">
        <v>27</v>
      </c>
      <c r="J65" t="s">
        <v>630</v>
      </c>
      <c r="K65">
        <v>2022</v>
      </c>
      <c r="L65">
        <v>2</v>
      </c>
      <c r="M65">
        <v>20</v>
      </c>
      <c r="N65" t="s">
        <v>85</v>
      </c>
      <c r="O65">
        <v>1</v>
      </c>
      <c r="P65">
        <v>2</v>
      </c>
      <c r="Q65" t="s">
        <v>31</v>
      </c>
      <c r="R65">
        <v>5</v>
      </c>
      <c r="S65">
        <v>34</v>
      </c>
      <c r="T65">
        <v>38721</v>
      </c>
      <c r="U65">
        <v>6300</v>
      </c>
      <c r="V65">
        <v>12.6</v>
      </c>
      <c r="W65" t="s">
        <v>31</v>
      </c>
    </row>
    <row r="66" spans="1:23" x14ac:dyDescent="0.3">
      <c r="A66" t="s">
        <v>587</v>
      </c>
      <c r="B66" t="s">
        <v>1817</v>
      </c>
      <c r="C66">
        <v>48</v>
      </c>
      <c r="D66" t="s">
        <v>33</v>
      </c>
      <c r="E66" t="s">
        <v>34</v>
      </c>
      <c r="F66" t="s">
        <v>35</v>
      </c>
      <c r="G66" t="s">
        <v>63</v>
      </c>
      <c r="H66" t="s">
        <v>64</v>
      </c>
      <c r="I66" t="s">
        <v>27</v>
      </c>
      <c r="J66" t="s">
        <v>588</v>
      </c>
      <c r="K66">
        <v>2022</v>
      </c>
      <c r="L66">
        <v>2</v>
      </c>
      <c r="M66">
        <v>18</v>
      </c>
      <c r="N66" t="s">
        <v>29</v>
      </c>
      <c r="O66">
        <v>4</v>
      </c>
      <c r="P66">
        <v>3</v>
      </c>
      <c r="Q66" t="s">
        <v>31</v>
      </c>
      <c r="R66">
        <v>22</v>
      </c>
      <c r="S66">
        <v>14</v>
      </c>
      <c r="T66">
        <v>58116</v>
      </c>
      <c r="U66">
        <v>8100</v>
      </c>
      <c r="V66">
        <v>14.6</v>
      </c>
      <c r="W66" t="s">
        <v>31</v>
      </c>
    </row>
    <row r="67" spans="1:23" x14ac:dyDescent="0.3">
      <c r="A67" t="s">
        <v>585</v>
      </c>
      <c r="B67" t="s">
        <v>2000</v>
      </c>
      <c r="C67">
        <v>36</v>
      </c>
      <c r="D67" t="s">
        <v>41</v>
      </c>
      <c r="E67" t="s">
        <v>34</v>
      </c>
      <c r="F67" t="s">
        <v>35</v>
      </c>
      <c r="G67" t="s">
        <v>63</v>
      </c>
      <c r="H67" t="s">
        <v>64</v>
      </c>
      <c r="I67" t="s">
        <v>27</v>
      </c>
      <c r="J67" t="s">
        <v>586</v>
      </c>
      <c r="K67">
        <v>2022</v>
      </c>
      <c r="L67">
        <v>2</v>
      </c>
      <c r="M67">
        <v>12</v>
      </c>
      <c r="N67" t="s">
        <v>85</v>
      </c>
      <c r="O67">
        <v>1</v>
      </c>
      <c r="P67">
        <v>1</v>
      </c>
      <c r="Q67" t="s">
        <v>31</v>
      </c>
      <c r="R67">
        <v>12</v>
      </c>
      <c r="S67">
        <v>63</v>
      </c>
      <c r="T67">
        <v>58171</v>
      </c>
      <c r="U67">
        <v>10800</v>
      </c>
      <c r="V67">
        <v>7.1</v>
      </c>
      <c r="W67" t="s">
        <v>31</v>
      </c>
    </row>
    <row r="68" spans="1:23" x14ac:dyDescent="0.3">
      <c r="A68" t="s">
        <v>541</v>
      </c>
      <c r="B68" t="s">
        <v>1813</v>
      </c>
      <c r="C68">
        <v>44</v>
      </c>
      <c r="D68" t="s">
        <v>41</v>
      </c>
      <c r="E68" t="s">
        <v>71</v>
      </c>
      <c r="F68" t="s">
        <v>137</v>
      </c>
      <c r="G68" t="s">
        <v>63</v>
      </c>
      <c r="H68" t="s">
        <v>225</v>
      </c>
      <c r="I68" t="s">
        <v>27</v>
      </c>
      <c r="J68" t="s">
        <v>542</v>
      </c>
      <c r="K68">
        <v>2022</v>
      </c>
      <c r="L68">
        <v>2</v>
      </c>
      <c r="M68">
        <v>19</v>
      </c>
      <c r="N68" t="s">
        <v>98</v>
      </c>
      <c r="O68">
        <v>5</v>
      </c>
      <c r="P68">
        <v>1</v>
      </c>
      <c r="Q68" t="s">
        <v>31</v>
      </c>
      <c r="R68">
        <v>21</v>
      </c>
      <c r="S68">
        <v>57</v>
      </c>
      <c r="T68">
        <v>57207</v>
      </c>
      <c r="U68">
        <v>3500</v>
      </c>
      <c r="V68">
        <v>9.6</v>
      </c>
      <c r="W68" t="s">
        <v>31</v>
      </c>
    </row>
    <row r="69" spans="1:23" x14ac:dyDescent="0.3">
      <c r="A69" t="s">
        <v>524</v>
      </c>
      <c r="B69" t="s">
        <v>1978</v>
      </c>
      <c r="C69">
        <v>24</v>
      </c>
      <c r="D69" t="s">
        <v>33</v>
      </c>
      <c r="E69" t="s">
        <v>71</v>
      </c>
      <c r="F69" t="s">
        <v>62</v>
      </c>
      <c r="G69" t="s">
        <v>63</v>
      </c>
      <c r="H69" t="s">
        <v>225</v>
      </c>
      <c r="I69" t="s">
        <v>27</v>
      </c>
      <c r="J69" t="s">
        <v>525</v>
      </c>
      <c r="K69">
        <v>2021</v>
      </c>
      <c r="L69">
        <v>3</v>
      </c>
      <c r="M69">
        <v>2</v>
      </c>
      <c r="N69" t="s">
        <v>39</v>
      </c>
      <c r="O69">
        <v>3</v>
      </c>
      <c r="P69">
        <v>4</v>
      </c>
      <c r="Q69" t="s">
        <v>31</v>
      </c>
      <c r="R69">
        <v>12</v>
      </c>
      <c r="S69">
        <v>48</v>
      </c>
      <c r="T69">
        <v>61894</v>
      </c>
      <c r="U69">
        <v>1600</v>
      </c>
      <c r="V69">
        <v>6.4</v>
      </c>
      <c r="W69" t="s">
        <v>30</v>
      </c>
    </row>
    <row r="70" spans="1:23" x14ac:dyDescent="0.3">
      <c r="A70" t="s">
        <v>478</v>
      </c>
      <c r="B70" t="s">
        <v>1958</v>
      </c>
      <c r="C70">
        <v>35</v>
      </c>
      <c r="D70" t="s">
        <v>33</v>
      </c>
      <c r="E70" t="s">
        <v>23</v>
      </c>
      <c r="F70" t="s">
        <v>137</v>
      </c>
      <c r="G70" t="s">
        <v>63</v>
      </c>
      <c r="H70" t="s">
        <v>225</v>
      </c>
      <c r="I70" t="s">
        <v>65</v>
      </c>
      <c r="J70" t="s">
        <v>479</v>
      </c>
      <c r="K70">
        <v>2023</v>
      </c>
      <c r="L70">
        <v>1</v>
      </c>
      <c r="M70">
        <v>10</v>
      </c>
      <c r="N70" t="s">
        <v>29</v>
      </c>
      <c r="O70">
        <v>3</v>
      </c>
      <c r="P70">
        <v>2</v>
      </c>
      <c r="Q70" t="s">
        <v>31</v>
      </c>
      <c r="R70">
        <v>4</v>
      </c>
      <c r="S70">
        <v>43</v>
      </c>
      <c r="T70">
        <v>51425</v>
      </c>
      <c r="U70">
        <v>5100</v>
      </c>
      <c r="V70">
        <v>6.1</v>
      </c>
      <c r="W70" t="s">
        <v>31</v>
      </c>
    </row>
    <row r="71" spans="1:23" x14ac:dyDescent="0.3">
      <c r="A71" t="s">
        <v>466</v>
      </c>
      <c r="B71" t="s">
        <v>1810</v>
      </c>
      <c r="C71">
        <v>32</v>
      </c>
      <c r="D71" t="s">
        <v>41</v>
      </c>
      <c r="E71" t="s">
        <v>34</v>
      </c>
      <c r="F71" t="s">
        <v>153</v>
      </c>
      <c r="G71" t="s">
        <v>63</v>
      </c>
      <c r="H71" t="s">
        <v>310</v>
      </c>
      <c r="I71" t="s">
        <v>27</v>
      </c>
      <c r="J71" t="s">
        <v>467</v>
      </c>
      <c r="K71">
        <v>2023</v>
      </c>
      <c r="L71">
        <v>1</v>
      </c>
      <c r="M71">
        <v>8</v>
      </c>
      <c r="N71" t="s">
        <v>39</v>
      </c>
      <c r="O71">
        <v>3</v>
      </c>
      <c r="P71">
        <v>1</v>
      </c>
      <c r="Q71" t="s">
        <v>31</v>
      </c>
      <c r="R71">
        <v>15</v>
      </c>
      <c r="S71">
        <v>73</v>
      </c>
      <c r="T71">
        <v>58972</v>
      </c>
      <c r="U71">
        <v>2100</v>
      </c>
      <c r="V71">
        <v>12</v>
      </c>
      <c r="W71" t="s">
        <v>30</v>
      </c>
    </row>
    <row r="72" spans="1:23" x14ac:dyDescent="0.3">
      <c r="A72" t="s">
        <v>462</v>
      </c>
      <c r="B72" t="s">
        <v>1909</v>
      </c>
      <c r="C72">
        <v>37</v>
      </c>
      <c r="D72" t="s">
        <v>41</v>
      </c>
      <c r="E72" t="s">
        <v>34</v>
      </c>
      <c r="F72" t="s">
        <v>24</v>
      </c>
      <c r="G72" t="s">
        <v>63</v>
      </c>
      <c r="H72" t="s">
        <v>64</v>
      </c>
      <c r="I72" t="s">
        <v>27</v>
      </c>
      <c r="J72" t="s">
        <v>463</v>
      </c>
      <c r="K72">
        <v>2022</v>
      </c>
      <c r="L72">
        <v>2</v>
      </c>
      <c r="M72">
        <v>12</v>
      </c>
      <c r="N72" t="s">
        <v>29</v>
      </c>
      <c r="O72">
        <v>2</v>
      </c>
      <c r="P72">
        <v>4</v>
      </c>
      <c r="Q72" t="s">
        <v>30</v>
      </c>
      <c r="R72">
        <v>22</v>
      </c>
      <c r="S72">
        <v>73</v>
      </c>
      <c r="T72">
        <v>61577</v>
      </c>
      <c r="U72">
        <v>7600</v>
      </c>
      <c r="V72">
        <v>9.8000000000000007</v>
      </c>
      <c r="W72" t="s">
        <v>31</v>
      </c>
    </row>
    <row r="73" spans="1:23" x14ac:dyDescent="0.3">
      <c r="A73" t="s">
        <v>449</v>
      </c>
      <c r="B73" t="s">
        <v>1927</v>
      </c>
      <c r="C73">
        <v>40</v>
      </c>
      <c r="D73" t="s">
        <v>33</v>
      </c>
      <c r="E73" t="s">
        <v>34</v>
      </c>
      <c r="F73" t="s">
        <v>47</v>
      </c>
      <c r="G73" t="s">
        <v>63</v>
      </c>
      <c r="H73" t="s">
        <v>337</v>
      </c>
      <c r="I73" t="s">
        <v>27</v>
      </c>
      <c r="J73" t="s">
        <v>450</v>
      </c>
      <c r="K73">
        <v>2022</v>
      </c>
      <c r="L73">
        <v>2</v>
      </c>
      <c r="M73">
        <v>11</v>
      </c>
      <c r="N73" t="s">
        <v>29</v>
      </c>
      <c r="O73">
        <v>4</v>
      </c>
      <c r="P73">
        <v>1</v>
      </c>
      <c r="Q73" t="s">
        <v>31</v>
      </c>
      <c r="R73">
        <v>24</v>
      </c>
      <c r="S73">
        <v>64</v>
      </c>
      <c r="T73">
        <v>62241</v>
      </c>
      <c r="U73">
        <v>8500</v>
      </c>
      <c r="V73">
        <v>4.9000000000000004</v>
      </c>
      <c r="W73" t="s">
        <v>31</v>
      </c>
    </row>
    <row r="74" spans="1:23" x14ac:dyDescent="0.3">
      <c r="A74" t="s">
        <v>406</v>
      </c>
      <c r="B74" t="s">
        <v>1836</v>
      </c>
      <c r="C74">
        <v>30</v>
      </c>
      <c r="D74" t="s">
        <v>41</v>
      </c>
      <c r="E74" t="s">
        <v>56</v>
      </c>
      <c r="F74" t="s">
        <v>35</v>
      </c>
      <c r="G74" t="s">
        <v>63</v>
      </c>
      <c r="H74" t="s">
        <v>225</v>
      </c>
      <c r="I74" t="s">
        <v>27</v>
      </c>
      <c r="J74" t="s">
        <v>407</v>
      </c>
      <c r="K74">
        <v>2023</v>
      </c>
      <c r="L74">
        <v>1</v>
      </c>
      <c r="M74">
        <v>2</v>
      </c>
      <c r="N74" t="s">
        <v>29</v>
      </c>
      <c r="O74">
        <v>4</v>
      </c>
      <c r="P74">
        <v>1</v>
      </c>
      <c r="Q74" t="s">
        <v>31</v>
      </c>
      <c r="R74">
        <v>6</v>
      </c>
      <c r="S74">
        <v>66</v>
      </c>
      <c r="T74">
        <v>48128</v>
      </c>
      <c r="U74">
        <v>5800</v>
      </c>
      <c r="V74">
        <v>11.5</v>
      </c>
      <c r="W74" t="s">
        <v>31</v>
      </c>
    </row>
    <row r="75" spans="1:23" x14ac:dyDescent="0.3">
      <c r="A75" t="s">
        <v>404</v>
      </c>
      <c r="B75" t="s">
        <v>1932</v>
      </c>
      <c r="C75">
        <v>29</v>
      </c>
      <c r="D75" t="s">
        <v>33</v>
      </c>
      <c r="E75" t="s">
        <v>34</v>
      </c>
      <c r="F75" t="s">
        <v>153</v>
      </c>
      <c r="G75" t="s">
        <v>63</v>
      </c>
      <c r="H75" t="s">
        <v>64</v>
      </c>
      <c r="I75" t="s">
        <v>65</v>
      </c>
      <c r="J75" t="s">
        <v>405</v>
      </c>
      <c r="K75">
        <v>2022</v>
      </c>
      <c r="L75">
        <v>2</v>
      </c>
      <c r="M75">
        <v>6</v>
      </c>
      <c r="N75" t="s">
        <v>98</v>
      </c>
      <c r="O75">
        <v>1</v>
      </c>
      <c r="P75">
        <v>1</v>
      </c>
      <c r="Q75" t="s">
        <v>30</v>
      </c>
      <c r="R75">
        <v>4</v>
      </c>
      <c r="S75">
        <v>60</v>
      </c>
      <c r="T75">
        <v>48125</v>
      </c>
      <c r="U75">
        <v>3800</v>
      </c>
      <c r="V75">
        <v>10.4</v>
      </c>
      <c r="W75" t="s">
        <v>31</v>
      </c>
    </row>
    <row r="76" spans="1:23" x14ac:dyDescent="0.3">
      <c r="A76" t="s">
        <v>224</v>
      </c>
      <c r="B76" t="s">
        <v>1863</v>
      </c>
      <c r="C76">
        <v>34</v>
      </c>
      <c r="D76" t="s">
        <v>41</v>
      </c>
      <c r="E76" t="s">
        <v>71</v>
      </c>
      <c r="F76" t="s">
        <v>51</v>
      </c>
      <c r="G76" t="s">
        <v>63</v>
      </c>
      <c r="H76" t="s">
        <v>225</v>
      </c>
      <c r="I76" t="s">
        <v>27</v>
      </c>
      <c r="J76" t="s">
        <v>226</v>
      </c>
      <c r="K76">
        <v>2021</v>
      </c>
      <c r="L76">
        <v>3</v>
      </c>
      <c r="M76">
        <v>11</v>
      </c>
      <c r="N76" t="s">
        <v>39</v>
      </c>
      <c r="O76">
        <v>4</v>
      </c>
      <c r="P76">
        <v>2</v>
      </c>
      <c r="Q76" t="s">
        <v>31</v>
      </c>
      <c r="R76">
        <v>5</v>
      </c>
      <c r="S76">
        <v>55</v>
      </c>
      <c r="T76">
        <v>40385</v>
      </c>
      <c r="U76">
        <v>1300</v>
      </c>
      <c r="V76">
        <v>9.1999999999999993</v>
      </c>
      <c r="W76" t="s">
        <v>31</v>
      </c>
    </row>
    <row r="77" spans="1:23" x14ac:dyDescent="0.3">
      <c r="A77" t="s">
        <v>366</v>
      </c>
      <c r="B77" t="s">
        <v>1853</v>
      </c>
      <c r="C77">
        <v>41</v>
      </c>
      <c r="D77" t="s">
        <v>41</v>
      </c>
      <c r="E77" t="s">
        <v>34</v>
      </c>
      <c r="F77" t="s">
        <v>24</v>
      </c>
      <c r="G77" t="s">
        <v>63</v>
      </c>
      <c r="H77" t="s">
        <v>337</v>
      </c>
      <c r="I77" t="s">
        <v>27</v>
      </c>
      <c r="J77" t="s">
        <v>367</v>
      </c>
      <c r="K77">
        <v>2023</v>
      </c>
      <c r="L77">
        <v>1</v>
      </c>
      <c r="M77">
        <v>11</v>
      </c>
      <c r="N77" t="s">
        <v>29</v>
      </c>
      <c r="O77">
        <v>2</v>
      </c>
      <c r="P77">
        <v>3</v>
      </c>
      <c r="Q77" t="s">
        <v>31</v>
      </c>
      <c r="R77">
        <v>10</v>
      </c>
      <c r="S77">
        <v>46</v>
      </c>
      <c r="T77">
        <v>41025</v>
      </c>
      <c r="U77">
        <v>5500</v>
      </c>
      <c r="V77">
        <v>4.9000000000000004</v>
      </c>
      <c r="W77" t="s">
        <v>31</v>
      </c>
    </row>
    <row r="78" spans="1:23" x14ac:dyDescent="0.3">
      <c r="A78" t="s">
        <v>345</v>
      </c>
      <c r="B78" t="s">
        <v>1798</v>
      </c>
      <c r="C78">
        <v>37</v>
      </c>
      <c r="D78" t="s">
        <v>22</v>
      </c>
      <c r="E78" t="s">
        <v>34</v>
      </c>
      <c r="F78" t="s">
        <v>137</v>
      </c>
      <c r="G78" t="s">
        <v>63</v>
      </c>
      <c r="H78" t="s">
        <v>64</v>
      </c>
      <c r="I78" t="s">
        <v>27</v>
      </c>
      <c r="J78" t="s">
        <v>219</v>
      </c>
      <c r="K78">
        <v>2021</v>
      </c>
      <c r="L78">
        <v>3</v>
      </c>
      <c r="M78">
        <v>8</v>
      </c>
      <c r="N78" t="s">
        <v>29</v>
      </c>
      <c r="O78">
        <v>2</v>
      </c>
      <c r="P78">
        <v>5</v>
      </c>
      <c r="Q78" t="s">
        <v>31</v>
      </c>
      <c r="R78">
        <v>15</v>
      </c>
      <c r="S78">
        <v>63</v>
      </c>
      <c r="T78">
        <v>57160</v>
      </c>
      <c r="U78">
        <v>5900</v>
      </c>
      <c r="V78">
        <v>12.9</v>
      </c>
      <c r="W78" t="s">
        <v>31</v>
      </c>
    </row>
    <row r="79" spans="1:23" x14ac:dyDescent="0.3">
      <c r="A79" t="s">
        <v>336</v>
      </c>
      <c r="B79" t="s">
        <v>1903</v>
      </c>
      <c r="C79">
        <v>48</v>
      </c>
      <c r="D79" t="s">
        <v>41</v>
      </c>
      <c r="E79" t="s">
        <v>34</v>
      </c>
      <c r="F79" t="s">
        <v>51</v>
      </c>
      <c r="G79" t="s">
        <v>63</v>
      </c>
      <c r="H79" t="s">
        <v>337</v>
      </c>
      <c r="I79" t="s">
        <v>65</v>
      </c>
      <c r="J79" t="s">
        <v>338</v>
      </c>
      <c r="K79">
        <v>2021</v>
      </c>
      <c r="L79">
        <v>3</v>
      </c>
      <c r="M79">
        <v>19</v>
      </c>
      <c r="N79" t="s">
        <v>98</v>
      </c>
      <c r="O79">
        <v>3</v>
      </c>
      <c r="P79">
        <v>3</v>
      </c>
      <c r="Q79" t="s">
        <v>31</v>
      </c>
      <c r="R79">
        <v>14</v>
      </c>
      <c r="S79">
        <v>6</v>
      </c>
      <c r="T79">
        <v>37951</v>
      </c>
      <c r="U79">
        <v>2200</v>
      </c>
      <c r="V79">
        <v>11.7</v>
      </c>
      <c r="W79" t="s">
        <v>31</v>
      </c>
    </row>
    <row r="80" spans="1:23" x14ac:dyDescent="0.3">
      <c r="A80" t="s">
        <v>233</v>
      </c>
      <c r="B80" t="s">
        <v>1866</v>
      </c>
      <c r="C80">
        <v>35</v>
      </c>
      <c r="D80" t="s">
        <v>33</v>
      </c>
      <c r="E80" t="s">
        <v>23</v>
      </c>
      <c r="F80" t="s">
        <v>35</v>
      </c>
      <c r="G80" t="s">
        <v>63</v>
      </c>
      <c r="H80" t="s">
        <v>225</v>
      </c>
      <c r="I80" t="s">
        <v>27</v>
      </c>
      <c r="J80" t="s">
        <v>234</v>
      </c>
      <c r="K80">
        <v>2021</v>
      </c>
      <c r="L80">
        <v>3</v>
      </c>
      <c r="M80">
        <v>7</v>
      </c>
      <c r="N80" t="s">
        <v>98</v>
      </c>
      <c r="O80">
        <v>1</v>
      </c>
      <c r="P80">
        <v>2</v>
      </c>
      <c r="Q80" t="s">
        <v>31</v>
      </c>
      <c r="R80">
        <v>9</v>
      </c>
      <c r="S80">
        <v>4</v>
      </c>
      <c r="T80">
        <v>51562</v>
      </c>
      <c r="U80">
        <v>3500</v>
      </c>
      <c r="V80">
        <v>8.9</v>
      </c>
      <c r="W80" t="s">
        <v>31</v>
      </c>
    </row>
    <row r="81" spans="1:23" x14ac:dyDescent="0.3">
      <c r="A81" t="s">
        <v>334</v>
      </c>
      <c r="B81" t="s">
        <v>1808</v>
      </c>
      <c r="C81">
        <v>33</v>
      </c>
      <c r="D81" t="s">
        <v>41</v>
      </c>
      <c r="E81" t="s">
        <v>34</v>
      </c>
      <c r="F81" t="s">
        <v>35</v>
      </c>
      <c r="G81" t="s">
        <v>63</v>
      </c>
      <c r="H81" t="s">
        <v>64</v>
      </c>
      <c r="I81" t="s">
        <v>27</v>
      </c>
      <c r="J81" t="s">
        <v>335</v>
      </c>
      <c r="K81">
        <v>2021</v>
      </c>
      <c r="L81">
        <v>3</v>
      </c>
      <c r="M81">
        <v>4</v>
      </c>
      <c r="N81" t="s">
        <v>98</v>
      </c>
      <c r="O81">
        <v>4</v>
      </c>
      <c r="P81">
        <v>2</v>
      </c>
      <c r="Q81" t="s">
        <v>31</v>
      </c>
      <c r="R81">
        <v>22</v>
      </c>
      <c r="S81">
        <v>61</v>
      </c>
      <c r="T81">
        <v>41545</v>
      </c>
      <c r="U81">
        <v>3300</v>
      </c>
      <c r="V81">
        <v>14.7</v>
      </c>
      <c r="W81" t="s">
        <v>31</v>
      </c>
    </row>
    <row r="82" spans="1:23" x14ac:dyDescent="0.3">
      <c r="A82" t="s">
        <v>309</v>
      </c>
      <c r="B82" t="s">
        <v>1882</v>
      </c>
      <c r="C82">
        <v>44</v>
      </c>
      <c r="D82" t="s">
        <v>41</v>
      </c>
      <c r="E82" t="s">
        <v>61</v>
      </c>
      <c r="F82" t="s">
        <v>42</v>
      </c>
      <c r="G82" t="s">
        <v>63</v>
      </c>
      <c r="H82" t="s">
        <v>310</v>
      </c>
      <c r="I82" t="s">
        <v>79</v>
      </c>
      <c r="J82" t="s">
        <v>311</v>
      </c>
      <c r="K82">
        <v>2024</v>
      </c>
      <c r="L82">
        <v>0</v>
      </c>
      <c r="M82">
        <v>17</v>
      </c>
      <c r="N82" t="s">
        <v>98</v>
      </c>
      <c r="O82">
        <v>1</v>
      </c>
      <c r="P82">
        <v>2</v>
      </c>
      <c r="Q82" t="s">
        <v>31</v>
      </c>
      <c r="R82">
        <v>6</v>
      </c>
      <c r="S82">
        <v>25</v>
      </c>
      <c r="T82">
        <v>51884</v>
      </c>
      <c r="U82">
        <v>3000</v>
      </c>
      <c r="V82">
        <v>11.5</v>
      </c>
      <c r="W82" t="s">
        <v>31</v>
      </c>
    </row>
    <row r="83" spans="1:23" x14ac:dyDescent="0.3">
      <c r="A83" t="s">
        <v>307</v>
      </c>
      <c r="B83" t="s">
        <v>1896</v>
      </c>
      <c r="C83">
        <v>37</v>
      </c>
      <c r="D83" t="s">
        <v>41</v>
      </c>
      <c r="E83" t="s">
        <v>34</v>
      </c>
      <c r="F83" t="s">
        <v>51</v>
      </c>
      <c r="G83" t="s">
        <v>63</v>
      </c>
      <c r="H83" t="s">
        <v>64</v>
      </c>
      <c r="I83" t="s">
        <v>27</v>
      </c>
      <c r="J83" t="s">
        <v>308</v>
      </c>
      <c r="K83">
        <v>2023</v>
      </c>
      <c r="L83">
        <v>1</v>
      </c>
      <c r="M83">
        <v>11</v>
      </c>
      <c r="N83" t="s">
        <v>29</v>
      </c>
      <c r="O83">
        <v>3</v>
      </c>
      <c r="P83">
        <v>3</v>
      </c>
      <c r="Q83" t="s">
        <v>30</v>
      </c>
      <c r="R83">
        <v>23</v>
      </c>
      <c r="S83">
        <v>53</v>
      </c>
      <c r="T83">
        <v>62618</v>
      </c>
      <c r="U83">
        <v>8100</v>
      </c>
      <c r="V83">
        <v>4.2</v>
      </c>
      <c r="W83" t="s">
        <v>31</v>
      </c>
    </row>
    <row r="84" spans="1:23" x14ac:dyDescent="0.3">
      <c r="A84" t="s">
        <v>300</v>
      </c>
      <c r="B84" t="s">
        <v>1893</v>
      </c>
      <c r="C84">
        <v>27</v>
      </c>
      <c r="D84" t="s">
        <v>41</v>
      </c>
      <c r="E84" t="s">
        <v>71</v>
      </c>
      <c r="F84" t="s">
        <v>42</v>
      </c>
      <c r="G84" t="s">
        <v>63</v>
      </c>
      <c r="H84" t="s">
        <v>225</v>
      </c>
      <c r="I84" t="s">
        <v>27</v>
      </c>
      <c r="J84" t="s">
        <v>87</v>
      </c>
      <c r="K84">
        <v>2021</v>
      </c>
      <c r="L84">
        <v>3</v>
      </c>
      <c r="M84">
        <v>4</v>
      </c>
      <c r="N84" t="s">
        <v>29</v>
      </c>
      <c r="O84">
        <v>5</v>
      </c>
      <c r="P84">
        <v>4</v>
      </c>
      <c r="Q84" t="s">
        <v>31</v>
      </c>
      <c r="R84">
        <v>18</v>
      </c>
      <c r="S84">
        <v>30</v>
      </c>
      <c r="T84">
        <v>61482</v>
      </c>
      <c r="U84">
        <v>8800</v>
      </c>
      <c r="V84">
        <v>10.1</v>
      </c>
      <c r="W84" t="s">
        <v>31</v>
      </c>
    </row>
    <row r="85" spans="1:23" x14ac:dyDescent="0.3">
      <c r="A85" t="s">
        <v>277</v>
      </c>
      <c r="B85" t="s">
        <v>1886</v>
      </c>
      <c r="C85">
        <v>44</v>
      </c>
      <c r="D85" t="s">
        <v>41</v>
      </c>
      <c r="E85" t="s">
        <v>56</v>
      </c>
      <c r="F85" t="s">
        <v>42</v>
      </c>
      <c r="G85" t="s">
        <v>63</v>
      </c>
      <c r="H85" t="s">
        <v>64</v>
      </c>
      <c r="I85" t="s">
        <v>27</v>
      </c>
      <c r="J85" t="s">
        <v>278</v>
      </c>
      <c r="K85">
        <v>2022</v>
      </c>
      <c r="L85">
        <v>2</v>
      </c>
      <c r="M85">
        <v>16</v>
      </c>
      <c r="N85" t="s">
        <v>85</v>
      </c>
      <c r="O85">
        <v>5</v>
      </c>
      <c r="P85">
        <v>1</v>
      </c>
      <c r="Q85" t="s">
        <v>31</v>
      </c>
      <c r="R85">
        <v>12</v>
      </c>
      <c r="S85">
        <v>45</v>
      </c>
      <c r="T85">
        <v>50696</v>
      </c>
      <c r="U85">
        <v>9200</v>
      </c>
      <c r="V85">
        <v>4.5999999999999996</v>
      </c>
      <c r="W85" t="s">
        <v>31</v>
      </c>
    </row>
    <row r="86" spans="1:23" x14ac:dyDescent="0.3">
      <c r="A86" t="s">
        <v>247</v>
      </c>
      <c r="B86" t="s">
        <v>1873</v>
      </c>
      <c r="C86">
        <v>26</v>
      </c>
      <c r="D86" t="s">
        <v>41</v>
      </c>
      <c r="E86" t="s">
        <v>34</v>
      </c>
      <c r="F86" t="s">
        <v>24</v>
      </c>
      <c r="G86" t="s">
        <v>63</v>
      </c>
      <c r="H86" t="s">
        <v>64</v>
      </c>
      <c r="I86" t="s">
        <v>79</v>
      </c>
      <c r="J86" t="s">
        <v>248</v>
      </c>
      <c r="K86">
        <v>2022</v>
      </c>
      <c r="L86">
        <v>2</v>
      </c>
      <c r="M86">
        <v>3</v>
      </c>
      <c r="N86" t="s">
        <v>85</v>
      </c>
      <c r="O86">
        <v>4</v>
      </c>
      <c r="P86">
        <v>2</v>
      </c>
      <c r="Q86" t="s">
        <v>30</v>
      </c>
      <c r="R86">
        <v>15</v>
      </c>
      <c r="S86">
        <v>9</v>
      </c>
      <c r="T86">
        <v>50624</v>
      </c>
      <c r="U86">
        <v>10500</v>
      </c>
      <c r="V86">
        <v>9.1999999999999993</v>
      </c>
      <c r="W86" t="s">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A306-4CEF-4EF0-99B8-D104119A900C}">
  <dimension ref="A3:L47"/>
  <sheetViews>
    <sheetView showGridLines="0" topLeftCell="D12" zoomScale="102" workbookViewId="0">
      <selection activeCell="F30" sqref="F30"/>
    </sheetView>
  </sheetViews>
  <sheetFormatPr defaultRowHeight="14.4" x14ac:dyDescent="0.3"/>
  <cols>
    <col min="1" max="1" width="26.33203125" bestFit="1" customWidth="1"/>
    <col min="2" max="2" width="20.21875" bestFit="1" customWidth="1"/>
    <col min="3" max="3" width="4.21875" bestFit="1" customWidth="1"/>
    <col min="4" max="4" width="30.88671875" bestFit="1" customWidth="1"/>
    <col min="5" max="5" width="20.21875" bestFit="1" customWidth="1"/>
    <col min="6" max="6" width="19.88671875" bestFit="1" customWidth="1"/>
    <col min="7" max="7" width="30.21875" bestFit="1" customWidth="1"/>
    <col min="8" max="8" width="20.21875" bestFit="1" customWidth="1"/>
    <col min="9" max="9" width="4.21875" bestFit="1" customWidth="1"/>
    <col min="10" max="10" width="11" bestFit="1" customWidth="1"/>
    <col min="11" max="11" width="30.21875" bestFit="1" customWidth="1"/>
    <col min="12" max="12" width="20.21875" bestFit="1" customWidth="1"/>
    <col min="13" max="13" width="10.33203125" bestFit="1" customWidth="1"/>
    <col min="14" max="14" width="20.109375" bestFit="1" customWidth="1"/>
    <col min="15" max="15" width="15.5546875" bestFit="1" customWidth="1"/>
    <col min="16" max="16" width="4" bestFit="1" customWidth="1"/>
    <col min="17" max="17" width="10.77734375" bestFit="1" customWidth="1"/>
    <col min="18" max="704" width="10.33203125" bestFit="1" customWidth="1"/>
    <col min="705" max="705" width="10.77734375" bestFit="1" customWidth="1"/>
  </cols>
  <sheetData>
    <row r="3" spans="1:10" x14ac:dyDescent="0.3">
      <c r="A3" s="9" t="s">
        <v>2240</v>
      </c>
      <c r="B3" t="s">
        <v>2233</v>
      </c>
      <c r="D3" s="9" t="s">
        <v>2241</v>
      </c>
      <c r="E3" t="s">
        <v>2233</v>
      </c>
      <c r="G3" s="9" t="s">
        <v>2242</v>
      </c>
      <c r="H3" s="9" t="s">
        <v>2236</v>
      </c>
    </row>
    <row r="4" spans="1:10" x14ac:dyDescent="0.3">
      <c r="A4" s="10" t="s">
        <v>63</v>
      </c>
      <c r="B4" s="15">
        <v>83</v>
      </c>
      <c r="D4" s="10" t="s">
        <v>33</v>
      </c>
      <c r="E4" s="15">
        <v>412</v>
      </c>
      <c r="G4" s="9" t="s">
        <v>2234</v>
      </c>
      <c r="H4" t="s">
        <v>31</v>
      </c>
      <c r="I4" t="s">
        <v>30</v>
      </c>
      <c r="J4" t="s">
        <v>2235</v>
      </c>
    </row>
    <row r="5" spans="1:10" x14ac:dyDescent="0.3">
      <c r="A5" s="10" t="s">
        <v>43</v>
      </c>
      <c r="B5" s="15">
        <v>252</v>
      </c>
      <c r="D5" s="10" t="s">
        <v>41</v>
      </c>
      <c r="E5" s="15">
        <v>540</v>
      </c>
      <c r="G5" s="10" t="s">
        <v>63</v>
      </c>
      <c r="H5" s="15">
        <v>74</v>
      </c>
      <c r="I5" s="15">
        <v>9</v>
      </c>
      <c r="J5" s="15">
        <v>83</v>
      </c>
    </row>
    <row r="6" spans="1:10" x14ac:dyDescent="0.3">
      <c r="A6" s="10" t="s">
        <v>25</v>
      </c>
      <c r="B6" s="15">
        <v>110</v>
      </c>
      <c r="D6" s="10" t="s">
        <v>22</v>
      </c>
      <c r="E6" s="15">
        <v>48</v>
      </c>
      <c r="G6" s="10" t="s">
        <v>43</v>
      </c>
      <c r="H6" s="15">
        <v>223</v>
      </c>
      <c r="I6" s="15">
        <v>29</v>
      </c>
      <c r="J6" s="15">
        <v>252</v>
      </c>
    </row>
    <row r="7" spans="1:10" x14ac:dyDescent="0.3">
      <c r="A7" s="10" t="s">
        <v>100</v>
      </c>
      <c r="B7" s="15">
        <v>80</v>
      </c>
      <c r="D7" s="10" t="s">
        <v>2235</v>
      </c>
      <c r="E7" s="15">
        <v>1000</v>
      </c>
      <c r="G7" s="10" t="s">
        <v>25</v>
      </c>
      <c r="H7" s="15">
        <v>94</v>
      </c>
      <c r="I7" s="15">
        <v>16</v>
      </c>
      <c r="J7" s="15">
        <v>110</v>
      </c>
    </row>
    <row r="8" spans="1:10" x14ac:dyDescent="0.3">
      <c r="A8" s="10" t="s">
        <v>117</v>
      </c>
      <c r="B8" s="15">
        <v>80</v>
      </c>
      <c r="G8" s="10" t="s">
        <v>100</v>
      </c>
      <c r="H8" s="15">
        <v>66</v>
      </c>
      <c r="I8" s="15">
        <v>14</v>
      </c>
      <c r="J8" s="15">
        <v>80</v>
      </c>
    </row>
    <row r="9" spans="1:10" x14ac:dyDescent="0.3">
      <c r="A9" s="10" t="s">
        <v>82</v>
      </c>
      <c r="B9" s="15">
        <v>102</v>
      </c>
      <c r="G9" s="10" t="s">
        <v>117</v>
      </c>
      <c r="H9" s="15">
        <v>73</v>
      </c>
      <c r="I9" s="15">
        <v>7</v>
      </c>
      <c r="J9" s="15">
        <v>80</v>
      </c>
    </row>
    <row r="10" spans="1:10" x14ac:dyDescent="0.3">
      <c r="A10" s="10" t="s">
        <v>52</v>
      </c>
      <c r="B10" s="15">
        <v>115</v>
      </c>
      <c r="G10" s="10" t="s">
        <v>82</v>
      </c>
      <c r="H10" s="15">
        <v>83</v>
      </c>
      <c r="I10" s="15">
        <v>19</v>
      </c>
      <c r="J10" s="15">
        <v>102</v>
      </c>
    </row>
    <row r="11" spans="1:10" x14ac:dyDescent="0.3">
      <c r="A11" s="10" t="s">
        <v>36</v>
      </c>
      <c r="B11" s="15">
        <v>178</v>
      </c>
      <c r="G11" s="10" t="s">
        <v>52</v>
      </c>
      <c r="H11" s="15">
        <v>98</v>
      </c>
      <c r="I11" s="15">
        <v>17</v>
      </c>
      <c r="J11" s="15">
        <v>115</v>
      </c>
    </row>
    <row r="12" spans="1:10" x14ac:dyDescent="0.3">
      <c r="A12" s="10" t="s">
        <v>2235</v>
      </c>
      <c r="B12" s="15">
        <v>1000</v>
      </c>
      <c r="G12" s="10" t="s">
        <v>36</v>
      </c>
      <c r="H12" s="15">
        <v>148</v>
      </c>
      <c r="I12" s="15">
        <v>30</v>
      </c>
      <c r="J12" s="15">
        <v>178</v>
      </c>
    </row>
    <row r="13" spans="1:10" x14ac:dyDescent="0.3">
      <c r="G13" s="10" t="s">
        <v>2235</v>
      </c>
      <c r="H13" s="15">
        <v>859</v>
      </c>
      <c r="I13" s="15">
        <v>141</v>
      </c>
      <c r="J13" s="15">
        <v>1000</v>
      </c>
    </row>
    <row r="17" spans="1:12" x14ac:dyDescent="0.3">
      <c r="A17" s="9" t="s">
        <v>2243</v>
      </c>
      <c r="B17" t="s">
        <v>2237</v>
      </c>
      <c r="D17" s="9" t="s">
        <v>2244</v>
      </c>
      <c r="E17" t="s">
        <v>2233</v>
      </c>
      <c r="G17" s="9" t="s">
        <v>2245</v>
      </c>
      <c r="H17" t="s">
        <v>2233</v>
      </c>
      <c r="K17" s="9" t="s">
        <v>2245</v>
      </c>
      <c r="L17" t="s">
        <v>2233</v>
      </c>
    </row>
    <row r="18" spans="1:12" x14ac:dyDescent="0.3">
      <c r="A18" s="10" t="s">
        <v>63</v>
      </c>
      <c r="B18" s="11">
        <v>50530.060240963852</v>
      </c>
      <c r="D18" s="10">
        <v>1</v>
      </c>
      <c r="E18" s="15">
        <v>197</v>
      </c>
      <c r="G18" s="10">
        <v>1</v>
      </c>
      <c r="H18" s="15">
        <v>212</v>
      </c>
      <c r="K18" s="10" t="s">
        <v>31</v>
      </c>
      <c r="L18" s="15">
        <v>859</v>
      </c>
    </row>
    <row r="19" spans="1:12" x14ac:dyDescent="0.3">
      <c r="A19" s="10" t="s">
        <v>43</v>
      </c>
      <c r="B19" s="11">
        <v>105665.21428571429</v>
      </c>
      <c r="D19" s="10">
        <v>2</v>
      </c>
      <c r="E19" s="15">
        <v>206</v>
      </c>
      <c r="G19" s="10">
        <v>2</v>
      </c>
      <c r="H19" s="15">
        <v>227</v>
      </c>
      <c r="K19" s="10" t="s">
        <v>30</v>
      </c>
      <c r="L19" s="15">
        <v>141</v>
      </c>
    </row>
    <row r="20" spans="1:12" x14ac:dyDescent="0.3">
      <c r="A20" s="10" t="s">
        <v>25</v>
      </c>
      <c r="B20" s="11">
        <v>84026.5</v>
      </c>
      <c r="D20" s="10">
        <v>3</v>
      </c>
      <c r="E20" s="15">
        <v>190</v>
      </c>
      <c r="G20" s="10">
        <v>3</v>
      </c>
      <c r="H20" s="15">
        <v>180</v>
      </c>
      <c r="K20" s="10" t="s">
        <v>2235</v>
      </c>
      <c r="L20" s="15">
        <v>1000</v>
      </c>
    </row>
    <row r="21" spans="1:12" x14ac:dyDescent="0.3">
      <c r="A21" s="10" t="s">
        <v>100</v>
      </c>
      <c r="B21" s="11">
        <v>58117.512499999997</v>
      </c>
      <c r="D21" s="10">
        <v>4</v>
      </c>
      <c r="E21" s="15">
        <v>220</v>
      </c>
      <c r="G21" s="10">
        <v>4</v>
      </c>
      <c r="H21" s="15">
        <v>180</v>
      </c>
    </row>
    <row r="22" spans="1:12" x14ac:dyDescent="0.3">
      <c r="A22" s="10" t="s">
        <v>117</v>
      </c>
      <c r="B22" s="11">
        <v>79815.912500000006</v>
      </c>
      <c r="D22" s="10">
        <v>5</v>
      </c>
      <c r="E22" s="15">
        <v>187</v>
      </c>
      <c r="G22" s="10">
        <v>5</v>
      </c>
      <c r="H22" s="15">
        <v>201</v>
      </c>
    </row>
    <row r="23" spans="1:12" x14ac:dyDescent="0.3">
      <c r="A23" s="10" t="s">
        <v>82</v>
      </c>
      <c r="B23" s="11">
        <v>68366.588235294112</v>
      </c>
      <c r="D23" s="10" t="s">
        <v>2235</v>
      </c>
      <c r="E23" s="15">
        <v>1000</v>
      </c>
      <c r="G23" s="10" t="s">
        <v>2235</v>
      </c>
      <c r="H23" s="15">
        <v>1000</v>
      </c>
    </row>
    <row r="24" spans="1:12" x14ac:dyDescent="0.3">
      <c r="A24" s="10" t="s">
        <v>52</v>
      </c>
      <c r="B24" s="11">
        <v>66116.608695652176</v>
      </c>
    </row>
    <row r="25" spans="1:12" x14ac:dyDescent="0.3">
      <c r="A25" s="10" t="s">
        <v>36</v>
      </c>
      <c r="B25" s="11">
        <v>70911.966292134835</v>
      </c>
    </row>
    <row r="26" spans="1:12" x14ac:dyDescent="0.3">
      <c r="A26" s="10" t="s">
        <v>2235</v>
      </c>
      <c r="B26" s="15">
        <v>78298.350000000006</v>
      </c>
    </row>
    <row r="29" spans="1:12" x14ac:dyDescent="0.3">
      <c r="A29" s="9" t="s">
        <v>2247</v>
      </c>
      <c r="B29" t="s">
        <v>2246</v>
      </c>
      <c r="D29" s="9" t="s">
        <v>2248</v>
      </c>
      <c r="E29" t="s">
        <v>2239</v>
      </c>
      <c r="G29" s="12" t="s">
        <v>2249</v>
      </c>
    </row>
    <row r="30" spans="1:12" x14ac:dyDescent="0.3">
      <c r="A30" s="10" t="s">
        <v>63</v>
      </c>
      <c r="B30" s="11">
        <v>5572.2891566265062</v>
      </c>
      <c r="D30" s="10" t="s">
        <v>63</v>
      </c>
      <c r="E30" s="15">
        <v>14.7</v>
      </c>
      <c r="G30" s="1" t="s">
        <v>2250</v>
      </c>
      <c r="H30" s="1">
        <f>GETPIVOTDATA("Employee_ID",$A$3)</f>
        <v>1000</v>
      </c>
    </row>
    <row r="31" spans="1:12" x14ac:dyDescent="0.3">
      <c r="A31" s="10" t="s">
        <v>43</v>
      </c>
      <c r="B31" s="11">
        <v>11719.047619047618</v>
      </c>
      <c r="D31" s="10" t="s">
        <v>43</v>
      </c>
      <c r="E31" s="15">
        <v>15</v>
      </c>
      <c r="G31" s="1" t="s">
        <v>2251</v>
      </c>
      <c r="H31" s="1" t="str">
        <f>ROUND(GETPIVOTDATA("Employee_ID",$G$3,"Attrition","Yes")/GETPIVOTDATA("Employee_ID",$A$3)*100,0) &amp; "%"</f>
        <v>14%</v>
      </c>
    </row>
    <row r="32" spans="1:12" x14ac:dyDescent="0.3">
      <c r="A32" s="10" t="s">
        <v>25</v>
      </c>
      <c r="B32" s="11">
        <v>9249.0909090909099</v>
      </c>
      <c r="D32" s="10" t="s">
        <v>25</v>
      </c>
      <c r="E32" s="15">
        <v>14.8</v>
      </c>
      <c r="G32" s="1" t="s">
        <v>2252</v>
      </c>
      <c r="H32" s="1">
        <f>GETPIVOTDATA("Employee_ID",$K$17,"Attrition","No")</f>
        <v>859</v>
      </c>
    </row>
    <row r="33" spans="1:8" x14ac:dyDescent="0.3">
      <c r="A33" s="10" t="s">
        <v>100</v>
      </c>
      <c r="B33" s="11">
        <v>6877.5</v>
      </c>
      <c r="D33" s="10" t="s">
        <v>100</v>
      </c>
      <c r="E33" s="15">
        <v>14.7</v>
      </c>
      <c r="G33" s="1" t="s">
        <v>2253</v>
      </c>
      <c r="H33" s="1">
        <f>GETPIVOTDATA("Employee_ID",$K$17,"Attrition","Yes")</f>
        <v>141</v>
      </c>
    </row>
    <row r="34" spans="1:8" x14ac:dyDescent="0.3">
      <c r="A34" s="10" t="s">
        <v>117</v>
      </c>
      <c r="B34" s="11">
        <v>9756.25</v>
      </c>
      <c r="D34" s="10" t="s">
        <v>117</v>
      </c>
      <c r="E34" s="15">
        <v>14.8</v>
      </c>
      <c r="G34" s="1" t="s">
        <v>1796</v>
      </c>
      <c r="H34" s="2">
        <f>GETPIVOTDATA("Salary",$A$17)</f>
        <v>78298.350000000006</v>
      </c>
    </row>
    <row r="35" spans="1:8" x14ac:dyDescent="0.3">
      <c r="A35" s="10" t="s">
        <v>82</v>
      </c>
      <c r="B35" s="11">
        <v>8033.333333333333</v>
      </c>
      <c r="D35" s="10" t="s">
        <v>82</v>
      </c>
      <c r="E35" s="15">
        <v>14.9</v>
      </c>
    </row>
    <row r="36" spans="1:8" x14ac:dyDescent="0.3">
      <c r="A36" s="10" t="s">
        <v>52</v>
      </c>
      <c r="B36" s="11">
        <v>7379.130434782609</v>
      </c>
      <c r="D36" s="10" t="s">
        <v>52</v>
      </c>
      <c r="E36" s="15">
        <v>14.8</v>
      </c>
    </row>
    <row r="37" spans="1:8" x14ac:dyDescent="0.3">
      <c r="A37" s="10" t="s">
        <v>36</v>
      </c>
      <c r="B37" s="11">
        <v>8687.0786516853932</v>
      </c>
      <c r="D37" s="10" t="s">
        <v>36</v>
      </c>
      <c r="E37" s="15">
        <v>15</v>
      </c>
    </row>
    <row r="38" spans="1:8" x14ac:dyDescent="0.3">
      <c r="A38" s="10" t="s">
        <v>2235</v>
      </c>
      <c r="B38" s="15">
        <v>8978.1</v>
      </c>
      <c r="D38" s="10" t="s">
        <v>2235</v>
      </c>
      <c r="E38" s="15">
        <v>15</v>
      </c>
    </row>
    <row r="41" spans="1:8" x14ac:dyDescent="0.3">
      <c r="A41" s="9" t="s">
        <v>2254</v>
      </c>
      <c r="B41" s="9" t="s">
        <v>2236</v>
      </c>
    </row>
    <row r="42" spans="1:8" x14ac:dyDescent="0.3">
      <c r="A42" s="9" t="s">
        <v>2241</v>
      </c>
      <c r="B42" t="s">
        <v>31</v>
      </c>
      <c r="C42" t="s">
        <v>30</v>
      </c>
      <c r="D42" t="s">
        <v>2235</v>
      </c>
    </row>
    <row r="43" spans="1:8" x14ac:dyDescent="0.3">
      <c r="A43" s="10">
        <v>2021</v>
      </c>
      <c r="B43" s="15">
        <v>249</v>
      </c>
      <c r="C43" s="15">
        <v>35</v>
      </c>
      <c r="D43" s="15">
        <v>284</v>
      </c>
    </row>
    <row r="44" spans="1:8" x14ac:dyDescent="0.3">
      <c r="A44" s="10">
        <v>2022</v>
      </c>
      <c r="B44" s="15">
        <v>203</v>
      </c>
      <c r="C44" s="15">
        <v>44</v>
      </c>
      <c r="D44" s="15">
        <v>247</v>
      </c>
    </row>
    <row r="45" spans="1:8" x14ac:dyDescent="0.3">
      <c r="A45" s="10">
        <v>2023</v>
      </c>
      <c r="B45" s="15">
        <v>211</v>
      </c>
      <c r="C45" s="15">
        <v>28</v>
      </c>
      <c r="D45" s="15">
        <v>239</v>
      </c>
    </row>
    <row r="46" spans="1:8" x14ac:dyDescent="0.3">
      <c r="A46" s="10">
        <v>2024</v>
      </c>
      <c r="B46" s="15">
        <v>196</v>
      </c>
      <c r="C46" s="15">
        <v>34</v>
      </c>
      <c r="D46" s="15">
        <v>230</v>
      </c>
    </row>
    <row r="47" spans="1:8" x14ac:dyDescent="0.3">
      <c r="A47" s="10" t="s">
        <v>2235</v>
      </c>
      <c r="B47" s="15">
        <v>859</v>
      </c>
      <c r="C47" s="15">
        <v>141</v>
      </c>
      <c r="D47" s="15">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CAB7B-79B5-4A13-8877-5CBD9E75CE81}">
  <sheetPr>
    <tabColor theme="9"/>
  </sheetPr>
  <dimension ref="A1"/>
  <sheetViews>
    <sheetView showGridLines="0" tabSelected="1" topLeftCell="AX40" zoomScale="73" zoomScaleNormal="45" workbookViewId="0">
      <selection activeCell="CJ34" sqref="CJ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17C67-B9BB-48C1-8401-EEA79E75077A}">
  <dimension ref="A1"/>
  <sheetViews>
    <sheetView showGridLines="0" zoomScale="21" workbookViewId="0">
      <selection activeCell="AZ88" sqref="AZ88"/>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CAL</vt:lpstr>
      <vt:lpstr>Detail1</vt:lpstr>
      <vt:lpstr>PIVOT</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rahulanalyst90@outlook.com</cp:lastModifiedBy>
  <dcterms:created xsi:type="dcterms:W3CDTF">2026-06-06T12:07:42Z</dcterms:created>
  <dcterms:modified xsi:type="dcterms:W3CDTF">2026-06-09T13:18:27Z</dcterms:modified>
</cp:coreProperties>
</file>